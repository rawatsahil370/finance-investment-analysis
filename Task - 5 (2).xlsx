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\Project\"/>
    </mc:Choice>
  </mc:AlternateContent>
  <xr:revisionPtr revIDLastSave="0" documentId="13_ncr:1_{3D631CB1-7D4A-4ABE-81D9-EF0168B55628}" xr6:coauthVersionLast="47" xr6:coauthVersionMax="47" xr10:uidLastSave="{00000000-0000-0000-0000-000000000000}"/>
  <bookViews>
    <workbookView xWindow="-108" yWindow="-108" windowWidth="23256" windowHeight="13896" xr2:uid="{40248ED9-9A81-4313-B051-CF1A2D51DFC3}"/>
  </bookViews>
  <sheets>
    <sheet name="Dataset 1" sheetId="1" r:id="rId1"/>
    <sheet name="Scatter Chart" sheetId="3" r:id="rId2"/>
    <sheet name="Bubble Chart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  <c r="B2" i="3"/>
  <c r="C2" i="3"/>
  <c r="A3" i="3"/>
  <c r="B3" i="3"/>
  <c r="C3" i="3"/>
  <c r="A4" i="3"/>
  <c r="B4" i="3"/>
  <c r="C4" i="3"/>
  <c r="A5" i="3"/>
  <c r="B5" i="3"/>
  <c r="C5" i="3"/>
  <c r="A6" i="3"/>
  <c r="B6" i="3"/>
  <c r="C6" i="3"/>
  <c r="A7" i="3"/>
  <c r="B7" i="3"/>
  <c r="C7" i="3"/>
  <c r="A8" i="3"/>
  <c r="B8" i="3"/>
  <c r="C8" i="3"/>
  <c r="A9" i="3"/>
  <c r="B9" i="3"/>
  <c r="C9" i="3"/>
  <c r="A10" i="3"/>
  <c r="B10" i="3"/>
  <c r="C10" i="3"/>
  <c r="A11" i="3"/>
  <c r="B11" i="3"/>
  <c r="C11" i="3"/>
  <c r="A12" i="3"/>
  <c r="B12" i="3"/>
  <c r="C12" i="3"/>
  <c r="A13" i="3"/>
  <c r="B13" i="3"/>
  <c r="C13" i="3"/>
  <c r="A14" i="3"/>
  <c r="B14" i="3"/>
  <c r="C14" i="3"/>
  <c r="A15" i="3"/>
  <c r="B15" i="3"/>
  <c r="C15" i="3"/>
  <c r="A16" i="3"/>
  <c r="B16" i="3"/>
  <c r="C16" i="3"/>
  <c r="A17" i="3"/>
  <c r="B17" i="3"/>
  <c r="C17" i="3"/>
  <c r="A18" i="3"/>
  <c r="B18" i="3"/>
  <c r="C18" i="3"/>
  <c r="A19" i="3"/>
  <c r="B19" i="3"/>
  <c r="C19" i="3"/>
  <c r="A20" i="3"/>
  <c r="B20" i="3"/>
  <c r="C20" i="3"/>
  <c r="A21" i="3"/>
  <c r="B21" i="3"/>
  <c r="C21" i="3"/>
  <c r="A22" i="3"/>
  <c r="B22" i="3"/>
  <c r="C22" i="3"/>
  <c r="A23" i="3"/>
  <c r="B23" i="3"/>
  <c r="C23" i="3"/>
  <c r="A24" i="3"/>
  <c r="B24" i="3"/>
  <c r="C24" i="3"/>
  <c r="A25" i="3"/>
  <c r="B25" i="3"/>
  <c r="C25" i="3"/>
  <c r="A26" i="3"/>
  <c r="B26" i="3"/>
  <c r="C26" i="3"/>
  <c r="A27" i="3"/>
  <c r="B27" i="3"/>
  <c r="C27" i="3"/>
  <c r="A28" i="3"/>
  <c r="B28" i="3"/>
  <c r="C28" i="3"/>
  <c r="A29" i="3"/>
  <c r="B29" i="3"/>
  <c r="C29" i="3"/>
  <c r="A30" i="3"/>
  <c r="B30" i="3"/>
  <c r="C30" i="3"/>
  <c r="A31" i="3"/>
  <c r="B31" i="3"/>
  <c r="C31" i="3"/>
  <c r="A32" i="3"/>
  <c r="B32" i="3"/>
  <c r="C32" i="3"/>
  <c r="A33" i="3"/>
  <c r="B33" i="3"/>
  <c r="C33" i="3"/>
  <c r="A34" i="3"/>
  <c r="B34" i="3"/>
  <c r="C34" i="3"/>
  <c r="A35" i="3"/>
  <c r="B35" i="3"/>
  <c r="C35" i="3"/>
  <c r="A36" i="3"/>
  <c r="B36" i="3"/>
  <c r="C36" i="3"/>
  <c r="A37" i="3"/>
  <c r="B37" i="3"/>
  <c r="C37" i="3"/>
  <c r="A38" i="3"/>
  <c r="B38" i="3"/>
  <c r="C38" i="3"/>
  <c r="A39" i="3"/>
  <c r="B39" i="3"/>
  <c r="C39" i="3"/>
  <c r="A40" i="3"/>
  <c r="B40" i="3"/>
  <c r="C40" i="3"/>
  <c r="A41" i="3"/>
  <c r="B41" i="3"/>
  <c r="C41" i="3"/>
</calcChain>
</file>

<file path=xl/sharedStrings.xml><?xml version="1.0" encoding="utf-8"?>
<sst xmlns="http://schemas.openxmlformats.org/spreadsheetml/2006/main" count="798" uniqueCount="69">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</sst>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0" fillId="34" borderId="10" xfId="0" applyFill="1" applyBorder="1"/>
    <xf numFmtId="0" fontId="18" fillId="35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 Vs Duration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37177382673122217"/>
          <c:y val="1.8518347724836005E-2"/>
        </c:manualLayout>
      </c:layout>
      <c:overlay val="0"/>
      <c:spPr>
        <a:noFill/>
        <a:ln w="952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Chart'!$E$3</c:f>
              <c:strCache>
                <c:ptCount val="1"/>
                <c:pt idx="0">
                  <c:v>Gender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strRef>
              <c:f>'Scatter Chart'!$F$2:$H$2</c:f>
              <c:strCache>
                <c:ptCount val="3"/>
                <c:pt idx="0">
                  <c:v>Gender</c:v>
                </c:pt>
                <c:pt idx="1">
                  <c:v>Duration</c:v>
                </c:pt>
                <c:pt idx="2">
                  <c:v>Expect</c:v>
                </c:pt>
              </c:strCache>
            </c:strRef>
          </c:xVal>
          <c:yVal>
            <c:numRef>
              <c:f>'Scatter Chart'!$F$3:$H$3</c:f>
              <c:numCache>
                <c:formatCode>General</c:formatCode>
                <c:ptCount val="3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F4-480C-BF02-66BD962EE37A}"/>
            </c:ext>
          </c:extLst>
        </c:ser>
        <c:ser>
          <c:idx val="1"/>
          <c:order val="1"/>
          <c:tx>
            <c:strRef>
              <c:f>'Scatter Chart'!$E$4</c:f>
              <c:strCache>
                <c:ptCount val="1"/>
                <c:pt idx="0">
                  <c:v>Duration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strRef>
              <c:f>'Scatter Chart'!$F$2:$H$2</c:f>
              <c:strCache>
                <c:ptCount val="3"/>
                <c:pt idx="0">
                  <c:v>Gender</c:v>
                </c:pt>
                <c:pt idx="1">
                  <c:v>Duration</c:v>
                </c:pt>
                <c:pt idx="2">
                  <c:v>Expect</c:v>
                </c:pt>
              </c:strCache>
            </c:strRef>
          </c:xVal>
          <c:yVal>
            <c:numRef>
              <c:f>'Scatter Chart'!$F$4:$H$4</c:f>
              <c:numCache>
                <c:formatCode>General</c:formatCode>
                <c:ptCount val="3"/>
                <c:pt idx="0">
                  <c:v>-8.0081190096476934E-2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F4-480C-BF02-66BD962EE37A}"/>
            </c:ext>
          </c:extLst>
        </c:ser>
        <c:ser>
          <c:idx val="2"/>
          <c:order val="2"/>
          <c:tx>
            <c:strRef>
              <c:f>'Scatter Chart'!$E$5</c:f>
              <c:strCache>
                <c:ptCount val="1"/>
                <c:pt idx="0">
                  <c:v>Expect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strRef>
              <c:f>'Scatter Chart'!$F$2:$H$2</c:f>
              <c:strCache>
                <c:ptCount val="3"/>
                <c:pt idx="0">
                  <c:v>Gender</c:v>
                </c:pt>
                <c:pt idx="1">
                  <c:v>Duration</c:v>
                </c:pt>
                <c:pt idx="2">
                  <c:v>Expect</c:v>
                </c:pt>
              </c:strCache>
            </c:strRef>
          </c:xVal>
          <c:yVal>
            <c:numRef>
              <c:f>'Scatter Chart'!$F$5:$H$5</c:f>
              <c:numCache>
                <c:formatCode>General</c:formatCode>
                <c:ptCount val="3"/>
                <c:pt idx="0">
                  <c:v>-2.9049644688706338E-2</c:v>
                </c:pt>
                <c:pt idx="1">
                  <c:v>0.25822264315920551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F4-480C-BF02-66BD962EE37A}"/>
            </c:ext>
          </c:extLst>
        </c:ser>
        <c:ser>
          <c:idx val="3"/>
          <c:order val="3"/>
          <c:spPr>
            <a:ln w="95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'Scatter Chart'!$A$2:$A$41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</c:numCache>
            </c:numRef>
          </c:xVal>
          <c:yVal>
            <c:numRef>
              <c:f>'Scatter Chart'!$B$2:$B$41</c:f>
              <c:numCache>
                <c:formatCode>General</c:formatCode>
                <c:ptCount val="40"/>
                <c:pt idx="0">
                  <c:v>2</c:v>
                </c:pt>
                <c:pt idx="1">
                  <c:v>6</c:v>
                </c:pt>
                <c:pt idx="2">
                  <c:v>4</c:v>
                </c:pt>
                <c:pt idx="3">
                  <c:v>0.5</c:v>
                </c:pt>
                <c:pt idx="4">
                  <c:v>0.5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2</c:v>
                </c:pt>
                <c:pt idx="28">
                  <c:v>2</c:v>
                </c:pt>
                <c:pt idx="29">
                  <c:v>4</c:v>
                </c:pt>
                <c:pt idx="30">
                  <c:v>2</c:v>
                </c:pt>
                <c:pt idx="31">
                  <c:v>4</c:v>
                </c:pt>
                <c:pt idx="32">
                  <c:v>4</c:v>
                </c:pt>
                <c:pt idx="33">
                  <c:v>2</c:v>
                </c:pt>
                <c:pt idx="34">
                  <c:v>2</c:v>
                </c:pt>
                <c:pt idx="35">
                  <c:v>4</c:v>
                </c:pt>
                <c:pt idx="36">
                  <c:v>2</c:v>
                </c:pt>
                <c:pt idx="37">
                  <c:v>4</c:v>
                </c:pt>
                <c:pt idx="38">
                  <c:v>2</c:v>
                </c:pt>
                <c:pt idx="3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DF4-480C-BF02-66BD962EE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122095"/>
        <c:axId val="1332124495"/>
      </c:scatterChart>
      <c:valAx>
        <c:axId val="1332122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Gender</a:t>
                </a:r>
              </a:p>
            </c:rich>
          </c:tx>
          <c:layout>
            <c:manualLayout>
              <c:xMode val="edge"/>
              <c:yMode val="edge"/>
              <c:x val="0.5071237970253718"/>
              <c:y val="0.80055482648002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124495"/>
        <c:crosses val="autoZero"/>
        <c:crossBetween val="midCat"/>
      </c:valAx>
      <c:valAx>
        <c:axId val="133212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outerShdw blurRad="50800" dist="38100" algn="l" rotWithShape="0">
                <a:schemeClr val="bg1">
                  <a:alpha val="40000"/>
                </a:schemeClr>
              </a:outerShdw>
            </a:effectLst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Duraton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421204797317002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122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79022">
          <a:srgbClr val="74C4E9"/>
        </a:gs>
        <a:gs pos="0">
          <a:schemeClr val="accent6">
            <a:lumMod val="40000"/>
            <a:lumOff val="60000"/>
          </a:schemeClr>
        </a:gs>
        <a:gs pos="74000">
          <a:schemeClr val="accent1">
            <a:lumMod val="45000"/>
            <a:lumOff val="55000"/>
          </a:schemeClr>
        </a:gs>
        <a:gs pos="84000">
          <a:schemeClr val="accent5">
            <a:lumMod val="60000"/>
            <a:lumOff val="40000"/>
          </a:schemeClr>
        </a:gs>
        <a:gs pos="38000">
          <a:srgbClr val="7030A0"/>
        </a:gs>
        <a:gs pos="9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bg1"/>
      </a:solidFill>
      <a:round/>
    </a:ln>
    <a:effectLst>
      <a:outerShdw blurRad="50800" dist="38100" sx="102000" sy="1020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Gender Vs Expect</a:t>
            </a:r>
          </a:p>
        </c:rich>
      </c:tx>
      <c:layout>
        <c:manualLayout>
          <c:xMode val="edge"/>
          <c:yMode val="edge"/>
          <c:x val="0.35368044619422573"/>
          <c:y val="2.7777777777777776E-2"/>
        </c:manualLayout>
      </c:layout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'Scatter Chart'!$E$3</c:f>
              <c:strCache>
                <c:ptCount val="1"/>
                <c:pt idx="0">
                  <c:v>Gender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strRef>
              <c:f>'Scatter Chart'!$F$2:$H$2</c:f>
              <c:strCache>
                <c:ptCount val="3"/>
                <c:pt idx="0">
                  <c:v>Gender</c:v>
                </c:pt>
                <c:pt idx="1">
                  <c:v>Duration</c:v>
                </c:pt>
                <c:pt idx="2">
                  <c:v>Expect</c:v>
                </c:pt>
              </c:strCache>
            </c:strRef>
          </c:xVal>
          <c:yVal>
            <c:numRef>
              <c:f>'Scatter Chart'!$F$3:$H$3</c:f>
              <c:numCache>
                <c:formatCode>General</c:formatCode>
                <c:ptCount val="3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10-438C-9138-020981F2D153}"/>
            </c:ext>
          </c:extLst>
        </c:ser>
        <c:ser>
          <c:idx val="1"/>
          <c:order val="1"/>
          <c:tx>
            <c:strRef>
              <c:f>'Scatter Chart'!$E$4</c:f>
              <c:strCache>
                <c:ptCount val="1"/>
                <c:pt idx="0">
                  <c:v>Duration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strRef>
              <c:f>'Scatter Chart'!$F$2:$H$2</c:f>
              <c:strCache>
                <c:ptCount val="3"/>
                <c:pt idx="0">
                  <c:v>Gender</c:v>
                </c:pt>
                <c:pt idx="1">
                  <c:v>Duration</c:v>
                </c:pt>
                <c:pt idx="2">
                  <c:v>Expect</c:v>
                </c:pt>
              </c:strCache>
            </c:strRef>
          </c:xVal>
          <c:yVal>
            <c:numRef>
              <c:f>'Scatter Chart'!$F$4:$H$4</c:f>
              <c:numCache>
                <c:formatCode>General</c:formatCode>
                <c:ptCount val="3"/>
                <c:pt idx="0">
                  <c:v>-8.0081190096476934E-2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10-438C-9138-020981F2D153}"/>
            </c:ext>
          </c:extLst>
        </c:ser>
        <c:ser>
          <c:idx val="2"/>
          <c:order val="2"/>
          <c:tx>
            <c:strRef>
              <c:f>'Scatter Chart'!$E$5</c:f>
              <c:strCache>
                <c:ptCount val="1"/>
                <c:pt idx="0">
                  <c:v>Expect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strRef>
              <c:f>'Scatter Chart'!$F$2:$H$2</c:f>
              <c:strCache>
                <c:ptCount val="3"/>
                <c:pt idx="0">
                  <c:v>Gender</c:v>
                </c:pt>
                <c:pt idx="1">
                  <c:v>Duration</c:v>
                </c:pt>
                <c:pt idx="2">
                  <c:v>Expect</c:v>
                </c:pt>
              </c:strCache>
            </c:strRef>
          </c:xVal>
          <c:yVal>
            <c:numRef>
              <c:f>'Scatter Chart'!$F$5:$H$5</c:f>
              <c:numCache>
                <c:formatCode>General</c:formatCode>
                <c:ptCount val="3"/>
                <c:pt idx="0">
                  <c:v>-2.9049644688706338E-2</c:v>
                </c:pt>
                <c:pt idx="1">
                  <c:v>0.25822264315920551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610-438C-9138-020981F2D153}"/>
            </c:ext>
          </c:extLst>
        </c:ser>
        <c:ser>
          <c:idx val="3"/>
          <c:order val="3"/>
          <c:spPr>
            <a:ln w="95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'Scatter Chart'!$A$2:$A$41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</c:numCache>
            </c:numRef>
          </c:xVal>
          <c:yVal>
            <c:numRef>
              <c:f>'Scatter Chart'!$C$2:$C$41</c:f>
              <c:numCache>
                <c:formatCode>General</c:formatCode>
                <c:ptCount val="4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15</c:v>
                </c:pt>
                <c:pt idx="4">
                  <c:v>25</c:v>
                </c:pt>
                <c:pt idx="5">
                  <c:v>35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35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35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15</c:v>
                </c:pt>
                <c:pt idx="30">
                  <c:v>15</c:v>
                </c:pt>
                <c:pt idx="31">
                  <c:v>25</c:v>
                </c:pt>
                <c:pt idx="32">
                  <c:v>35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35</c:v>
                </c:pt>
                <c:pt idx="38">
                  <c:v>25</c:v>
                </c:pt>
                <c:pt idx="39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610-438C-9138-020981F2D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102415"/>
        <c:axId val="1332102895"/>
      </c:scatterChart>
      <c:valAx>
        <c:axId val="133210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Gender</a:t>
                </a:r>
              </a:p>
            </c:rich>
          </c:tx>
          <c:layout>
            <c:manualLayout>
              <c:xMode val="edge"/>
              <c:yMode val="edge"/>
              <c:x val="0.45028477690288721"/>
              <c:y val="0.80055482648002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102895"/>
        <c:crosses val="autoZero"/>
        <c:crossBetween val="midCat"/>
      </c:valAx>
      <c:valAx>
        <c:axId val="133210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Expect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399516622922134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102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outerShdw blurRad="50800" dist="38100" dir="10800000" sx="101000" sy="101000" algn="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Duration Vs  Expect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27115266841644792"/>
          <c:y val="5.0925925925925923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96544510883508"/>
          <c:y val="0.28273148148148147"/>
          <c:w val="0.84975134687111475"/>
          <c:h val="0.4956937153689122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'Scatter Chart'!$E$3</c:f>
              <c:strCache>
                <c:ptCount val="1"/>
                <c:pt idx="0">
                  <c:v>Gender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strRef>
              <c:f>'Scatter Chart'!$F$2:$H$2</c:f>
              <c:strCache>
                <c:ptCount val="3"/>
                <c:pt idx="0">
                  <c:v>Gender</c:v>
                </c:pt>
                <c:pt idx="1">
                  <c:v>Duration</c:v>
                </c:pt>
                <c:pt idx="2">
                  <c:v>Expect</c:v>
                </c:pt>
              </c:strCache>
            </c:strRef>
          </c:xVal>
          <c:yVal>
            <c:numRef>
              <c:f>'Scatter Chart'!$F$3:$H$3</c:f>
              <c:numCache>
                <c:formatCode>General</c:formatCode>
                <c:ptCount val="3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1A-4D23-957A-2A20A2074635}"/>
            </c:ext>
          </c:extLst>
        </c:ser>
        <c:ser>
          <c:idx val="1"/>
          <c:order val="1"/>
          <c:tx>
            <c:strRef>
              <c:f>'Scatter Chart'!$E$4</c:f>
              <c:strCache>
                <c:ptCount val="1"/>
                <c:pt idx="0">
                  <c:v>Duration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strRef>
              <c:f>'Scatter Chart'!$F$2:$H$2</c:f>
              <c:strCache>
                <c:ptCount val="3"/>
                <c:pt idx="0">
                  <c:v>Gender</c:v>
                </c:pt>
                <c:pt idx="1">
                  <c:v>Duration</c:v>
                </c:pt>
                <c:pt idx="2">
                  <c:v>Expect</c:v>
                </c:pt>
              </c:strCache>
            </c:strRef>
          </c:xVal>
          <c:yVal>
            <c:numRef>
              <c:f>'Scatter Chart'!$F$4:$H$4</c:f>
              <c:numCache>
                <c:formatCode>General</c:formatCode>
                <c:ptCount val="3"/>
                <c:pt idx="0">
                  <c:v>-8.0081190096476934E-2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11A-4D23-957A-2A20A2074635}"/>
            </c:ext>
          </c:extLst>
        </c:ser>
        <c:ser>
          <c:idx val="2"/>
          <c:order val="2"/>
          <c:tx>
            <c:strRef>
              <c:f>'Scatter Chart'!$E$5</c:f>
              <c:strCache>
                <c:ptCount val="1"/>
                <c:pt idx="0">
                  <c:v>Expect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strRef>
              <c:f>'Scatter Chart'!$F$2:$H$2</c:f>
              <c:strCache>
                <c:ptCount val="3"/>
                <c:pt idx="0">
                  <c:v>Gender</c:v>
                </c:pt>
                <c:pt idx="1">
                  <c:v>Duration</c:v>
                </c:pt>
                <c:pt idx="2">
                  <c:v>Expect</c:v>
                </c:pt>
              </c:strCache>
            </c:strRef>
          </c:xVal>
          <c:yVal>
            <c:numRef>
              <c:f>'Scatter Chart'!$F$5:$H$5</c:f>
              <c:numCache>
                <c:formatCode>General</c:formatCode>
                <c:ptCount val="3"/>
                <c:pt idx="0">
                  <c:v>-2.9049644688706338E-2</c:v>
                </c:pt>
                <c:pt idx="1">
                  <c:v>0.25822264315920551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11A-4D23-957A-2A20A2074635}"/>
            </c:ext>
          </c:extLst>
        </c:ser>
        <c:ser>
          <c:idx val="3"/>
          <c:order val="3"/>
          <c:spPr>
            <a:ln w="22225" cap="rnd">
              <a:solidFill>
                <a:schemeClr val="accent4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xVal>
            <c:numRef>
              <c:f>'Scatter Chart'!$B$2:$B$41</c:f>
              <c:numCache>
                <c:formatCode>General</c:formatCode>
                <c:ptCount val="40"/>
                <c:pt idx="0">
                  <c:v>2</c:v>
                </c:pt>
                <c:pt idx="1">
                  <c:v>6</c:v>
                </c:pt>
                <c:pt idx="2">
                  <c:v>4</c:v>
                </c:pt>
                <c:pt idx="3">
                  <c:v>0.5</c:v>
                </c:pt>
                <c:pt idx="4">
                  <c:v>0.5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2</c:v>
                </c:pt>
                <c:pt idx="28">
                  <c:v>2</c:v>
                </c:pt>
                <c:pt idx="29">
                  <c:v>4</c:v>
                </c:pt>
                <c:pt idx="30">
                  <c:v>2</c:v>
                </c:pt>
                <c:pt idx="31">
                  <c:v>4</c:v>
                </c:pt>
                <c:pt idx="32">
                  <c:v>4</c:v>
                </c:pt>
                <c:pt idx="33">
                  <c:v>2</c:v>
                </c:pt>
                <c:pt idx="34">
                  <c:v>2</c:v>
                </c:pt>
                <c:pt idx="35">
                  <c:v>4</c:v>
                </c:pt>
                <c:pt idx="36">
                  <c:v>2</c:v>
                </c:pt>
                <c:pt idx="37">
                  <c:v>4</c:v>
                </c:pt>
                <c:pt idx="38">
                  <c:v>2</c:v>
                </c:pt>
                <c:pt idx="39">
                  <c:v>4</c:v>
                </c:pt>
              </c:numCache>
            </c:numRef>
          </c:xVal>
          <c:yVal>
            <c:numRef>
              <c:f>'Scatter Chart'!$C$2:$C$41</c:f>
              <c:numCache>
                <c:formatCode>General</c:formatCode>
                <c:ptCount val="4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15</c:v>
                </c:pt>
                <c:pt idx="4">
                  <c:v>25</c:v>
                </c:pt>
                <c:pt idx="5">
                  <c:v>35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35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35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15</c:v>
                </c:pt>
                <c:pt idx="30">
                  <c:v>15</c:v>
                </c:pt>
                <c:pt idx="31">
                  <c:v>25</c:v>
                </c:pt>
                <c:pt idx="32">
                  <c:v>35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35</c:v>
                </c:pt>
                <c:pt idx="38">
                  <c:v>25</c:v>
                </c:pt>
                <c:pt idx="39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1A-4D23-957A-2A20A2074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094255"/>
        <c:axId val="1332091855"/>
      </c:scatterChart>
      <c:valAx>
        <c:axId val="1332094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091855"/>
        <c:crosses val="autoZero"/>
        <c:crossBetween val="midCat"/>
      </c:valAx>
      <c:valAx>
        <c:axId val="133209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outerShdw blurRad="50800" dist="38100" dir="2700000" sx="106000" sy="106000" algn="tl" rotWithShape="0">
                <a:prstClr val="black">
                  <a:alpha val="37000"/>
                </a:prstClr>
              </a:outerShdw>
            </a:effectLst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Expect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094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5">
            <a:lumMod val="60000"/>
            <a:lumOff val="4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sx="101000" sy="101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Investment Duration Vs Participants' Expectations</a:t>
            </a:r>
          </a:p>
        </c:rich>
      </c:tx>
      <c:layout>
        <c:manualLayout>
          <c:xMode val="edge"/>
          <c:yMode val="edge"/>
          <c:x val="0.20868496362672356"/>
          <c:y val="2.8287085251549982E-2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5255205709073061E-2"/>
          <c:y val="0.13634116192830656"/>
          <c:w val="0.91266198375140373"/>
          <c:h val="0.73920461734619392"/>
        </c:manualLayout>
      </c:layout>
      <c:bubbleChart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xVal>
            <c:strRef>
              <c:f>'Bubble Chart'!$A$1:$A$41</c:f>
              <c:strCache>
                <c:ptCount val="41"/>
                <c:pt idx="0">
                  <c:v>Gender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</c:strCache>
            </c:strRef>
          </c:xVal>
          <c:yVal>
            <c:numRef>
              <c:f>'Bubble Chart'!$B$1:$B$41</c:f>
              <c:numCache>
                <c:formatCode>General</c:formatCode>
                <c:ptCount val="41"/>
                <c:pt idx="0">
                  <c:v>0</c:v>
                </c:pt>
                <c:pt idx="1">
                  <c:v>2</c:v>
                </c:pt>
                <c:pt idx="2">
                  <c:v>6</c:v>
                </c:pt>
                <c:pt idx="3">
                  <c:v>4</c:v>
                </c:pt>
                <c:pt idx="4">
                  <c:v>0.5</c:v>
                </c:pt>
                <c:pt idx="5">
                  <c:v>0.5</c:v>
                </c:pt>
                <c:pt idx="6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  <c:pt idx="10">
                  <c:v>4</c:v>
                </c:pt>
                <c:pt idx="11">
                  <c:v>4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2</c:v>
                </c:pt>
                <c:pt idx="29">
                  <c:v>2</c:v>
                </c:pt>
                <c:pt idx="30">
                  <c:v>4</c:v>
                </c:pt>
                <c:pt idx="31">
                  <c:v>2</c:v>
                </c:pt>
                <c:pt idx="32">
                  <c:v>4</c:v>
                </c:pt>
                <c:pt idx="33">
                  <c:v>4</c:v>
                </c:pt>
                <c:pt idx="34">
                  <c:v>2</c:v>
                </c:pt>
                <c:pt idx="35">
                  <c:v>2</c:v>
                </c:pt>
                <c:pt idx="36">
                  <c:v>4</c:v>
                </c:pt>
                <c:pt idx="37">
                  <c:v>2</c:v>
                </c:pt>
                <c:pt idx="38">
                  <c:v>4</c:v>
                </c:pt>
                <c:pt idx="39">
                  <c:v>2</c:v>
                </c:pt>
                <c:pt idx="40">
                  <c:v>4</c:v>
                </c:pt>
              </c:numCache>
            </c:numRef>
          </c:yVal>
          <c:bubbleSize>
            <c:numRef>
              <c:f>'Bubble Chart'!$C$1:$C$41</c:f>
              <c:numCache>
                <c:formatCode>General</c:formatCode>
                <c:ptCount val="41"/>
                <c:pt idx="0">
                  <c:v>0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15</c:v>
                </c:pt>
                <c:pt idx="5">
                  <c:v>25</c:v>
                </c:pt>
                <c:pt idx="6">
                  <c:v>35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35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35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15</c:v>
                </c:pt>
                <c:pt idx="31">
                  <c:v>15</c:v>
                </c:pt>
                <c:pt idx="32">
                  <c:v>25</c:v>
                </c:pt>
                <c:pt idx="33">
                  <c:v>35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35</c:v>
                </c:pt>
                <c:pt idx="39">
                  <c:v>25</c:v>
                </c:pt>
                <c:pt idx="40">
                  <c:v>25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A4D8-44B1-B19F-4533DC774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452596272"/>
        <c:axId val="1452594352"/>
      </c:bubbleChart>
      <c:valAx>
        <c:axId val="145259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Investment Duration</a:t>
                </a:r>
              </a:p>
            </c:rich>
          </c:tx>
          <c:layout>
            <c:manualLayout>
              <c:xMode val="edge"/>
              <c:yMode val="edge"/>
              <c:x val="0.4285079876307808"/>
              <c:y val="0.91674891071248976"/>
            </c:manualLayout>
          </c:layout>
          <c:overlay val="0"/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594352"/>
        <c:crosses val="autoZero"/>
        <c:crossBetween val="midCat"/>
      </c:valAx>
      <c:valAx>
        <c:axId val="145259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Participants' Expectations</a:t>
                </a:r>
              </a:p>
            </c:rich>
          </c:tx>
          <c:layout>
            <c:manualLayout>
              <c:xMode val="edge"/>
              <c:yMode val="edge"/>
              <c:x val="1.4638226683396068E-2"/>
              <c:y val="0.26838681629567623"/>
            </c:manualLayout>
          </c:layout>
          <c:overlay val="0"/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59627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>
          <a:outerShdw blurRad="50800" dist="38100" sx="101000" sy="101000" algn="l" rotWithShape="0">
            <a:prstClr val="black">
              <a:alpha val="40000"/>
            </a:prstClr>
          </a:outerShd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>
      <a:outerShdw blurRad="50800" dist="38100" sx="101000" sy="1010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220980</xdr:colOff>
      <xdr:row>0</xdr:row>
      <xdr:rowOff>125730</xdr:rowOff>
    </xdr:from>
    <xdr:to>
      <xdr:col>23</xdr:col>
      <xdr:colOff>60960</xdr:colOff>
      <xdr:row>14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A0F01D-53DB-BF97-9D2B-4803612E5B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426720</xdr:colOff>
      <xdr:row>16</xdr:row>
      <xdr:rowOff>41910</xdr:rowOff>
    </xdr:from>
    <xdr:to>
      <xdr:col>22</xdr:col>
      <xdr:colOff>129540</xdr:colOff>
      <xdr:row>31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D3A838-0EAD-B7DC-0DC8-AD4A47D4A0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220980</xdr:colOff>
      <xdr:row>6</xdr:row>
      <xdr:rowOff>110490</xdr:rowOff>
    </xdr:from>
    <xdr:to>
      <xdr:col>11</xdr:col>
      <xdr:colOff>411480</xdr:colOff>
      <xdr:row>21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645B84-9C34-34AA-AA1D-F73D35422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556260</xdr:colOff>
      <xdr:row>3</xdr:row>
      <xdr:rowOff>137160</xdr:rowOff>
    </xdr:from>
    <xdr:to>
      <xdr:col>16</xdr:col>
      <xdr:colOff>533400</xdr:colOff>
      <xdr:row>20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98E746-043F-40A9-BAFE-2A53F32C43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0336C-7E58-4751-820A-3F97AEE60E66}">
  <dimension ref="A1:AB41"/>
  <sheetViews>
    <sheetView tabSelected="1" workbookViewId="0">
      <pane ySplit="1" topLeftCell="A2" activePane="bottomLeft" state="frozen"/>
      <selection pane="bottomLeft" activeCell="H13" sqref="H13"/>
    </sheetView>
  </sheetViews>
  <sheetFormatPr defaultRowHeight="14.4" x14ac:dyDescent="0.3"/>
  <cols>
    <col min="1" max="1" width="7" bestFit="1" customWidth="1"/>
    <col min="2" max="2" width="3.88671875" bestFit="1" customWidth="1"/>
    <col min="3" max="3" width="17.5546875" bestFit="1" customWidth="1"/>
    <col min="4" max="5" width="12.109375" bestFit="1" customWidth="1"/>
    <col min="6" max="6" width="10.33203125" bestFit="1" customWidth="1"/>
    <col min="7" max="7" width="16.77734375" bestFit="1" customWidth="1"/>
    <col min="8" max="8" width="13.109375" bestFit="1" customWidth="1"/>
    <col min="9" max="9" width="4.21875" bestFit="1" customWidth="1"/>
    <col min="10" max="10" width="4.77734375" bestFit="1" customWidth="1"/>
    <col min="11" max="11" width="12.33203125" bestFit="1" customWidth="1"/>
    <col min="12" max="12" width="12.6640625" bestFit="1" customWidth="1"/>
    <col min="13" max="13" width="17.44140625" bestFit="1" customWidth="1"/>
    <col min="14" max="14" width="15.21875" bestFit="1" customWidth="1"/>
    <col min="15" max="15" width="15.109375" bestFit="1" customWidth="1"/>
    <col min="16" max="16" width="12.5546875" bestFit="1" customWidth="1"/>
    <col min="17" max="17" width="8.77734375" bestFit="1" customWidth="1"/>
    <col min="18" max="18" width="18.44140625" bestFit="1" customWidth="1"/>
    <col min="19" max="19" width="28" bestFit="1" customWidth="1"/>
    <col min="20" max="20" width="17.44140625" bestFit="1" customWidth="1"/>
    <col min="21" max="21" width="16.88671875" bestFit="1" customWidth="1"/>
    <col min="22" max="22" width="14.21875" bestFit="1" customWidth="1"/>
    <col min="23" max="23" width="16.109375" bestFit="1" customWidth="1"/>
    <col min="24" max="24" width="23.5546875" bestFit="1" customWidth="1"/>
    <col min="26" max="26" width="7" bestFit="1" customWidth="1"/>
    <col min="27" max="27" width="15.109375" bestFit="1" customWidth="1"/>
    <col min="28" max="28" width="8.77734375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Z1" t="s">
        <v>0</v>
      </c>
      <c r="AA1" t="s">
        <v>14</v>
      </c>
      <c r="AB1" t="s">
        <v>16</v>
      </c>
    </row>
    <row r="2" spans="1:28" x14ac:dyDescent="0.3">
      <c r="A2" s="2" t="s">
        <v>24</v>
      </c>
      <c r="B2" s="2">
        <v>34</v>
      </c>
      <c r="C2" s="2" t="s">
        <v>25</v>
      </c>
      <c r="D2" s="2">
        <v>1</v>
      </c>
      <c r="E2" s="2">
        <v>2</v>
      </c>
      <c r="F2" s="2">
        <v>5</v>
      </c>
      <c r="G2" s="2">
        <v>3</v>
      </c>
      <c r="H2" s="2">
        <v>7</v>
      </c>
      <c r="I2" s="2">
        <v>6</v>
      </c>
      <c r="J2" s="2">
        <v>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  <c r="R2" s="2" t="s">
        <v>32</v>
      </c>
      <c r="S2" s="2" t="s">
        <v>33</v>
      </c>
      <c r="T2" s="2" t="s">
        <v>27</v>
      </c>
      <c r="U2" s="2" t="s">
        <v>34</v>
      </c>
      <c r="V2" s="2" t="s">
        <v>35</v>
      </c>
      <c r="W2" s="2" t="s">
        <v>36</v>
      </c>
      <c r="X2" s="2" t="s">
        <v>37</v>
      </c>
      <c r="Z2" t="s">
        <v>24</v>
      </c>
      <c r="AA2" t="s">
        <v>29</v>
      </c>
      <c r="AB2" t="s">
        <v>31</v>
      </c>
    </row>
    <row r="3" spans="1:28" x14ac:dyDescent="0.3">
      <c r="A3" s="2" t="s">
        <v>24</v>
      </c>
      <c r="B3" s="2">
        <v>23</v>
      </c>
      <c r="C3" s="2" t="s">
        <v>25</v>
      </c>
      <c r="D3" s="2">
        <v>4</v>
      </c>
      <c r="E3" s="2">
        <v>3</v>
      </c>
      <c r="F3" s="2">
        <v>2</v>
      </c>
      <c r="G3" s="2">
        <v>1</v>
      </c>
      <c r="H3" s="2">
        <v>5</v>
      </c>
      <c r="I3" s="2">
        <v>6</v>
      </c>
      <c r="J3" s="2">
        <v>7</v>
      </c>
      <c r="K3" s="2" t="s">
        <v>38</v>
      </c>
      <c r="L3" s="2" t="s">
        <v>39</v>
      </c>
      <c r="M3" s="2" t="s">
        <v>27</v>
      </c>
      <c r="N3" s="2" t="s">
        <v>28</v>
      </c>
      <c r="O3" s="2" t="s">
        <v>40</v>
      </c>
      <c r="P3" s="2" t="s">
        <v>41</v>
      </c>
      <c r="Q3" s="2" t="s">
        <v>31</v>
      </c>
      <c r="R3" s="2" t="s">
        <v>32</v>
      </c>
      <c r="S3" s="2" t="s">
        <v>42</v>
      </c>
      <c r="T3" s="2" t="s">
        <v>43</v>
      </c>
      <c r="U3" s="2" t="s">
        <v>34</v>
      </c>
      <c r="V3" s="2" t="s">
        <v>35</v>
      </c>
      <c r="W3" s="2" t="s">
        <v>44</v>
      </c>
      <c r="X3" s="2" t="s">
        <v>45</v>
      </c>
      <c r="Z3" t="s">
        <v>24</v>
      </c>
      <c r="AA3" t="s">
        <v>40</v>
      </c>
      <c r="AB3" t="s">
        <v>31</v>
      </c>
    </row>
    <row r="4" spans="1:28" x14ac:dyDescent="0.3">
      <c r="A4" s="2" t="s">
        <v>46</v>
      </c>
      <c r="B4" s="2">
        <v>30</v>
      </c>
      <c r="C4" s="2" t="s">
        <v>25</v>
      </c>
      <c r="D4" s="2">
        <v>3</v>
      </c>
      <c r="E4" s="2">
        <v>6</v>
      </c>
      <c r="F4" s="2">
        <v>4</v>
      </c>
      <c r="G4" s="2">
        <v>2</v>
      </c>
      <c r="H4" s="2">
        <v>5</v>
      </c>
      <c r="I4" s="2">
        <v>1</v>
      </c>
      <c r="J4" s="2">
        <v>7</v>
      </c>
      <c r="K4" s="2" t="s">
        <v>25</v>
      </c>
      <c r="L4" s="2" t="s">
        <v>26</v>
      </c>
      <c r="M4" s="2" t="s">
        <v>27</v>
      </c>
      <c r="N4" s="2" t="s">
        <v>28</v>
      </c>
      <c r="O4" s="2" t="s">
        <v>47</v>
      </c>
      <c r="P4" s="2" t="s">
        <v>48</v>
      </c>
      <c r="Q4" s="2" t="s">
        <v>31</v>
      </c>
      <c r="R4" s="2" t="s">
        <v>49</v>
      </c>
      <c r="S4" s="2" t="s">
        <v>33</v>
      </c>
      <c r="T4" s="2" t="s">
        <v>27</v>
      </c>
      <c r="U4" s="2" t="s">
        <v>50</v>
      </c>
      <c r="V4" s="2" t="s">
        <v>51</v>
      </c>
      <c r="W4" s="2" t="s">
        <v>36</v>
      </c>
      <c r="X4" s="2" t="s">
        <v>52</v>
      </c>
      <c r="Z4" t="s">
        <v>46</v>
      </c>
      <c r="AA4" t="s">
        <v>47</v>
      </c>
      <c r="AB4" t="s">
        <v>31</v>
      </c>
    </row>
    <row r="5" spans="1:28" x14ac:dyDescent="0.3">
      <c r="A5" s="2" t="s">
        <v>46</v>
      </c>
      <c r="B5" s="2">
        <v>22</v>
      </c>
      <c r="C5" s="2"/>
      <c r="D5" s="2">
        <v>2</v>
      </c>
      <c r="E5" s="2">
        <v>1</v>
      </c>
      <c r="F5" s="2">
        <v>3</v>
      </c>
      <c r="G5" s="2">
        <v>7</v>
      </c>
      <c r="H5" s="2">
        <v>6</v>
      </c>
      <c r="I5" s="2">
        <v>4</v>
      </c>
      <c r="J5" s="2">
        <v>5</v>
      </c>
      <c r="K5" s="2" t="s">
        <v>25</v>
      </c>
      <c r="L5" s="2" t="s">
        <v>26</v>
      </c>
      <c r="M5" s="2" t="s">
        <v>53</v>
      </c>
      <c r="N5" s="2" t="s">
        <v>28</v>
      </c>
      <c r="O5" s="2" t="s">
        <v>54</v>
      </c>
      <c r="P5" s="2" t="s">
        <v>48</v>
      </c>
      <c r="Q5" s="2" t="s">
        <v>55</v>
      </c>
      <c r="R5" s="2" t="s">
        <v>49</v>
      </c>
      <c r="S5" s="2" t="s">
        <v>33</v>
      </c>
      <c r="T5" s="2" t="s">
        <v>43</v>
      </c>
      <c r="U5" s="2" t="s">
        <v>56</v>
      </c>
      <c r="V5" s="2" t="s">
        <v>57</v>
      </c>
      <c r="W5" s="2" t="s">
        <v>44</v>
      </c>
      <c r="X5" s="2" t="s">
        <v>58</v>
      </c>
      <c r="Z5" t="s">
        <v>46</v>
      </c>
      <c r="AA5" t="s">
        <v>54</v>
      </c>
      <c r="AB5" t="s">
        <v>55</v>
      </c>
    </row>
    <row r="6" spans="1:28" x14ac:dyDescent="0.3">
      <c r="A6" s="2" t="s">
        <v>24</v>
      </c>
      <c r="B6" s="2">
        <v>24</v>
      </c>
      <c r="C6" s="2" t="s">
        <v>38</v>
      </c>
      <c r="D6" s="2">
        <v>2</v>
      </c>
      <c r="E6" s="2">
        <v>1</v>
      </c>
      <c r="F6" s="2">
        <v>3</v>
      </c>
      <c r="G6" s="2">
        <v>6</v>
      </c>
      <c r="H6" s="2">
        <v>4</v>
      </c>
      <c r="I6" s="2">
        <v>5</v>
      </c>
      <c r="J6" s="2">
        <v>7</v>
      </c>
      <c r="K6" s="2" t="s">
        <v>38</v>
      </c>
      <c r="L6" s="2" t="s">
        <v>26</v>
      </c>
      <c r="M6" s="2" t="s">
        <v>53</v>
      </c>
      <c r="N6" s="2" t="s">
        <v>28</v>
      </c>
      <c r="O6" s="2" t="s">
        <v>54</v>
      </c>
      <c r="P6" s="2" t="s">
        <v>48</v>
      </c>
      <c r="Q6" s="2" t="s">
        <v>31</v>
      </c>
      <c r="R6" s="2" t="s">
        <v>49</v>
      </c>
      <c r="S6" s="2" t="s">
        <v>33</v>
      </c>
      <c r="T6" s="2" t="s">
        <v>27</v>
      </c>
      <c r="U6" s="2" t="s">
        <v>34</v>
      </c>
      <c r="V6" s="2" t="s">
        <v>35</v>
      </c>
      <c r="W6" s="2" t="s">
        <v>59</v>
      </c>
      <c r="X6" s="2" t="s">
        <v>58</v>
      </c>
      <c r="Z6" t="s">
        <v>24</v>
      </c>
      <c r="AA6" t="s">
        <v>54</v>
      </c>
      <c r="AB6" t="s">
        <v>31</v>
      </c>
    </row>
    <row r="7" spans="1:28" x14ac:dyDescent="0.3">
      <c r="A7" s="2" t="s">
        <v>24</v>
      </c>
      <c r="B7" s="2">
        <v>24</v>
      </c>
      <c r="C7" s="2" t="s">
        <v>38</v>
      </c>
      <c r="D7" s="2">
        <v>7</v>
      </c>
      <c r="E7" s="2">
        <v>5</v>
      </c>
      <c r="F7" s="2">
        <v>4</v>
      </c>
      <c r="G7" s="2">
        <v>6</v>
      </c>
      <c r="H7" s="2">
        <v>3</v>
      </c>
      <c r="I7" s="2">
        <v>1</v>
      </c>
      <c r="J7" s="2">
        <v>2</v>
      </c>
      <c r="K7" s="2" t="s">
        <v>38</v>
      </c>
      <c r="L7" s="2" t="s">
        <v>60</v>
      </c>
      <c r="M7" s="2" t="s">
        <v>27</v>
      </c>
      <c r="N7" s="2" t="s">
        <v>28</v>
      </c>
      <c r="O7" s="2" t="s">
        <v>29</v>
      </c>
      <c r="P7" s="2" t="s">
        <v>48</v>
      </c>
      <c r="Q7" s="2" t="s">
        <v>61</v>
      </c>
      <c r="R7" s="2" t="s">
        <v>32</v>
      </c>
      <c r="S7" s="2" t="s">
        <v>33</v>
      </c>
      <c r="T7" s="2" t="s">
        <v>62</v>
      </c>
      <c r="U7" s="2" t="s">
        <v>56</v>
      </c>
      <c r="V7" s="2" t="s">
        <v>35</v>
      </c>
      <c r="W7" s="2" t="s">
        <v>59</v>
      </c>
      <c r="X7" s="2" t="s">
        <v>58</v>
      </c>
      <c r="Z7" t="s">
        <v>24</v>
      </c>
      <c r="AA7" t="s">
        <v>29</v>
      </c>
      <c r="AB7" t="s">
        <v>61</v>
      </c>
    </row>
    <row r="8" spans="1:28" x14ac:dyDescent="0.3">
      <c r="A8" s="2" t="s">
        <v>24</v>
      </c>
      <c r="B8" s="2">
        <v>27</v>
      </c>
      <c r="C8" s="2" t="s">
        <v>25</v>
      </c>
      <c r="D8" s="2">
        <v>3</v>
      </c>
      <c r="E8" s="2">
        <v>6</v>
      </c>
      <c r="F8" s="2">
        <v>4</v>
      </c>
      <c r="G8" s="2">
        <v>2</v>
      </c>
      <c r="H8" s="2">
        <v>5</v>
      </c>
      <c r="I8" s="2">
        <v>1</v>
      </c>
      <c r="J8" s="2">
        <v>7</v>
      </c>
      <c r="K8" s="2" t="s">
        <v>25</v>
      </c>
      <c r="L8" s="2" t="s">
        <v>26</v>
      </c>
      <c r="M8" s="2" t="s">
        <v>27</v>
      </c>
      <c r="N8" s="2" t="s">
        <v>28</v>
      </c>
      <c r="O8" s="2" t="s">
        <v>47</v>
      </c>
      <c r="P8" s="2" t="s">
        <v>30</v>
      </c>
      <c r="Q8" s="2" t="s">
        <v>31</v>
      </c>
      <c r="R8" s="2" t="s">
        <v>49</v>
      </c>
      <c r="S8" s="2" t="s">
        <v>33</v>
      </c>
      <c r="T8" s="2" t="s">
        <v>27</v>
      </c>
      <c r="U8" s="2" t="s">
        <v>34</v>
      </c>
      <c r="V8" s="2" t="s">
        <v>51</v>
      </c>
      <c r="W8" s="2" t="s">
        <v>44</v>
      </c>
      <c r="X8" s="2" t="s">
        <v>45</v>
      </c>
      <c r="Z8" t="s">
        <v>24</v>
      </c>
      <c r="AA8" t="s">
        <v>47</v>
      </c>
      <c r="AB8" t="s">
        <v>31</v>
      </c>
    </row>
    <row r="9" spans="1:28" x14ac:dyDescent="0.3">
      <c r="A9" s="2" t="s">
        <v>46</v>
      </c>
      <c r="B9" s="2">
        <v>21</v>
      </c>
      <c r="C9" s="2" t="s">
        <v>25</v>
      </c>
      <c r="D9" s="2">
        <v>2</v>
      </c>
      <c r="E9" s="2">
        <v>3</v>
      </c>
      <c r="F9" s="2">
        <v>7</v>
      </c>
      <c r="G9" s="2">
        <v>4</v>
      </c>
      <c r="H9" s="2">
        <v>6</v>
      </c>
      <c r="I9" s="2">
        <v>1</v>
      </c>
      <c r="J9" s="2">
        <v>5</v>
      </c>
      <c r="K9" s="2" t="s">
        <v>25</v>
      </c>
      <c r="L9" s="2" t="s">
        <v>60</v>
      </c>
      <c r="M9" s="2" t="s">
        <v>27</v>
      </c>
      <c r="N9" s="2" t="s">
        <v>28</v>
      </c>
      <c r="O9" s="2" t="s">
        <v>47</v>
      </c>
      <c r="P9" s="2" t="s">
        <v>30</v>
      </c>
      <c r="Q9" s="2" t="s">
        <v>31</v>
      </c>
      <c r="R9" s="2" t="s">
        <v>32</v>
      </c>
      <c r="S9" s="2" t="s">
        <v>33</v>
      </c>
      <c r="T9" s="2" t="s">
        <v>27</v>
      </c>
      <c r="U9" s="2" t="s">
        <v>34</v>
      </c>
      <c r="V9" s="2" t="s">
        <v>51</v>
      </c>
      <c r="W9" s="2" t="s">
        <v>59</v>
      </c>
      <c r="X9" s="2" t="s">
        <v>37</v>
      </c>
      <c r="Z9" t="s">
        <v>46</v>
      </c>
      <c r="AA9" t="s">
        <v>47</v>
      </c>
      <c r="AB9" t="s">
        <v>31</v>
      </c>
    </row>
    <row r="10" spans="1:28" x14ac:dyDescent="0.3">
      <c r="A10" s="2" t="s">
        <v>46</v>
      </c>
      <c r="B10" s="2">
        <v>35</v>
      </c>
      <c r="C10" s="2" t="s">
        <v>25</v>
      </c>
      <c r="D10" s="2">
        <v>2</v>
      </c>
      <c r="E10" s="2">
        <v>4</v>
      </c>
      <c r="F10" s="2">
        <v>7</v>
      </c>
      <c r="G10" s="2">
        <v>5</v>
      </c>
      <c r="H10" s="2">
        <v>3</v>
      </c>
      <c r="I10" s="2">
        <v>1</v>
      </c>
      <c r="J10" s="2">
        <v>6</v>
      </c>
      <c r="K10" s="2" t="s">
        <v>25</v>
      </c>
      <c r="L10" s="2" t="s">
        <v>26</v>
      </c>
      <c r="M10" s="2" t="s">
        <v>63</v>
      </c>
      <c r="N10" s="2" t="s">
        <v>64</v>
      </c>
      <c r="O10" s="2" t="s">
        <v>29</v>
      </c>
      <c r="P10" s="2" t="s">
        <v>41</v>
      </c>
      <c r="Q10" s="2" t="s">
        <v>31</v>
      </c>
      <c r="R10" s="2" t="s">
        <v>49</v>
      </c>
      <c r="S10" s="2" t="s">
        <v>33</v>
      </c>
      <c r="T10" s="2" t="s">
        <v>27</v>
      </c>
      <c r="U10" s="2" t="s">
        <v>56</v>
      </c>
      <c r="V10" s="2" t="s">
        <v>35</v>
      </c>
      <c r="W10" s="2" t="s">
        <v>36</v>
      </c>
      <c r="X10" s="2" t="s">
        <v>52</v>
      </c>
      <c r="Z10" t="s">
        <v>46</v>
      </c>
      <c r="AA10" t="s">
        <v>29</v>
      </c>
      <c r="AB10" t="s">
        <v>31</v>
      </c>
    </row>
    <row r="11" spans="1:28" x14ac:dyDescent="0.3">
      <c r="A11" s="2" t="s">
        <v>46</v>
      </c>
      <c r="B11" s="2">
        <v>31</v>
      </c>
      <c r="C11" s="2" t="s">
        <v>25</v>
      </c>
      <c r="D11" s="2">
        <v>1</v>
      </c>
      <c r="E11" s="2">
        <v>3</v>
      </c>
      <c r="F11" s="2">
        <v>7</v>
      </c>
      <c r="G11" s="2">
        <v>4</v>
      </c>
      <c r="H11" s="2">
        <v>5</v>
      </c>
      <c r="I11" s="2">
        <v>2</v>
      </c>
      <c r="J11" s="2">
        <v>6</v>
      </c>
      <c r="K11" s="2" t="s">
        <v>25</v>
      </c>
      <c r="L11" s="2" t="s">
        <v>26</v>
      </c>
      <c r="M11" s="2" t="s">
        <v>27</v>
      </c>
      <c r="N11" s="2" t="s">
        <v>28</v>
      </c>
      <c r="O11" s="2" t="s">
        <v>47</v>
      </c>
      <c r="P11" s="2" t="s">
        <v>30</v>
      </c>
      <c r="Q11" s="2" t="s">
        <v>61</v>
      </c>
      <c r="R11" s="2" t="s">
        <v>65</v>
      </c>
      <c r="S11" s="2" t="s">
        <v>33</v>
      </c>
      <c r="T11" s="2" t="s">
        <v>27</v>
      </c>
      <c r="U11" s="2" t="s">
        <v>56</v>
      </c>
      <c r="V11" s="2" t="s">
        <v>51</v>
      </c>
      <c r="W11" s="2" t="s">
        <v>36</v>
      </c>
      <c r="X11" s="2" t="s">
        <v>37</v>
      </c>
      <c r="Z11" t="s">
        <v>46</v>
      </c>
      <c r="AA11" t="s">
        <v>47</v>
      </c>
      <c r="AB11" t="s">
        <v>61</v>
      </c>
    </row>
    <row r="12" spans="1:28" x14ac:dyDescent="0.3">
      <c r="A12" s="2" t="s">
        <v>24</v>
      </c>
      <c r="B12" s="2">
        <v>35</v>
      </c>
      <c r="C12" s="2" t="s">
        <v>25</v>
      </c>
      <c r="D12" s="2">
        <v>2</v>
      </c>
      <c r="E12" s="2">
        <v>4</v>
      </c>
      <c r="F12" s="2">
        <v>7</v>
      </c>
      <c r="G12" s="2">
        <v>5</v>
      </c>
      <c r="H12" s="2">
        <v>3</v>
      </c>
      <c r="I12" s="2">
        <v>1</v>
      </c>
      <c r="J12" s="2">
        <v>6</v>
      </c>
      <c r="K12" s="2" t="s">
        <v>25</v>
      </c>
      <c r="L12" s="2" t="s">
        <v>60</v>
      </c>
      <c r="M12" s="2" t="s">
        <v>63</v>
      </c>
      <c r="N12" s="2" t="s">
        <v>64</v>
      </c>
      <c r="O12" s="2" t="s">
        <v>47</v>
      </c>
      <c r="P12" s="2" t="s">
        <v>30</v>
      </c>
      <c r="Q12" s="2" t="s">
        <v>31</v>
      </c>
      <c r="R12" s="2" t="s">
        <v>32</v>
      </c>
      <c r="S12" s="2" t="s">
        <v>33</v>
      </c>
      <c r="T12" s="2" t="s">
        <v>27</v>
      </c>
      <c r="U12" s="2" t="s">
        <v>34</v>
      </c>
      <c r="V12" s="2" t="s">
        <v>51</v>
      </c>
      <c r="W12" s="2" t="s">
        <v>59</v>
      </c>
      <c r="X12" s="2" t="s">
        <v>45</v>
      </c>
      <c r="Z12" t="s">
        <v>24</v>
      </c>
      <c r="AA12" t="s">
        <v>47</v>
      </c>
      <c r="AB12" t="s">
        <v>31</v>
      </c>
    </row>
    <row r="13" spans="1:28" x14ac:dyDescent="0.3">
      <c r="A13" s="2" t="s">
        <v>46</v>
      </c>
      <c r="B13" s="2">
        <v>29</v>
      </c>
      <c r="C13" s="2" t="s">
        <v>25</v>
      </c>
      <c r="D13" s="2">
        <v>2</v>
      </c>
      <c r="E13" s="2">
        <v>5</v>
      </c>
      <c r="F13" s="2">
        <v>7</v>
      </c>
      <c r="G13" s="2">
        <v>6</v>
      </c>
      <c r="H13" s="2">
        <v>3</v>
      </c>
      <c r="I13" s="2">
        <v>1</v>
      </c>
      <c r="J13" s="2">
        <v>4</v>
      </c>
      <c r="K13" s="2" t="s">
        <v>25</v>
      </c>
      <c r="L13" s="2" t="s">
        <v>60</v>
      </c>
      <c r="M13" s="2" t="s">
        <v>27</v>
      </c>
      <c r="N13" s="2" t="s">
        <v>28</v>
      </c>
      <c r="O13" s="2" t="s">
        <v>29</v>
      </c>
      <c r="P13" s="2" t="s">
        <v>30</v>
      </c>
      <c r="Q13" s="2" t="s">
        <v>31</v>
      </c>
      <c r="R13" s="2" t="s">
        <v>32</v>
      </c>
      <c r="S13" s="2" t="s">
        <v>33</v>
      </c>
      <c r="T13" s="2" t="s">
        <v>27</v>
      </c>
      <c r="U13" s="2" t="s">
        <v>56</v>
      </c>
      <c r="V13" s="2" t="s">
        <v>51</v>
      </c>
      <c r="W13" s="2" t="s">
        <v>36</v>
      </c>
      <c r="X13" s="2" t="s">
        <v>45</v>
      </c>
      <c r="Z13" t="s">
        <v>46</v>
      </c>
      <c r="AA13" t="s">
        <v>29</v>
      </c>
      <c r="AB13" t="s">
        <v>31</v>
      </c>
    </row>
    <row r="14" spans="1:28" x14ac:dyDescent="0.3">
      <c r="A14" s="2" t="s">
        <v>24</v>
      </c>
      <c r="B14" s="2">
        <v>21</v>
      </c>
      <c r="C14" s="2" t="s">
        <v>38</v>
      </c>
      <c r="D14" s="2">
        <v>1</v>
      </c>
      <c r="E14" s="2">
        <v>2</v>
      </c>
      <c r="F14" s="2">
        <v>3</v>
      </c>
      <c r="G14" s="2">
        <v>4</v>
      </c>
      <c r="H14" s="2">
        <v>5</v>
      </c>
      <c r="I14" s="2">
        <v>6</v>
      </c>
      <c r="J14" s="2">
        <v>7</v>
      </c>
      <c r="K14" s="2" t="s">
        <v>38</v>
      </c>
      <c r="L14" s="2" t="s">
        <v>26</v>
      </c>
      <c r="M14" s="2" t="s">
        <v>27</v>
      </c>
      <c r="N14" s="2" t="s">
        <v>64</v>
      </c>
      <c r="O14" s="2" t="s">
        <v>29</v>
      </c>
      <c r="P14" s="2" t="s">
        <v>41</v>
      </c>
      <c r="Q14" s="2" t="s">
        <v>31</v>
      </c>
      <c r="R14" s="2" t="s">
        <v>32</v>
      </c>
      <c r="S14" s="2" t="s">
        <v>66</v>
      </c>
      <c r="T14" s="2" t="s">
        <v>43</v>
      </c>
      <c r="U14" s="2" t="s">
        <v>34</v>
      </c>
      <c r="V14" s="2" t="s">
        <v>35</v>
      </c>
      <c r="W14" s="2" t="s">
        <v>59</v>
      </c>
      <c r="X14" s="2" t="s">
        <v>58</v>
      </c>
      <c r="Z14" t="s">
        <v>24</v>
      </c>
      <c r="AA14" t="s">
        <v>29</v>
      </c>
      <c r="AB14" t="s">
        <v>31</v>
      </c>
    </row>
    <row r="15" spans="1:28" x14ac:dyDescent="0.3">
      <c r="A15" s="2" t="s">
        <v>24</v>
      </c>
      <c r="B15" s="2">
        <v>28</v>
      </c>
      <c r="C15" s="2" t="s">
        <v>25</v>
      </c>
      <c r="D15" s="2">
        <v>2</v>
      </c>
      <c r="E15" s="2">
        <v>3</v>
      </c>
      <c r="F15" s="2">
        <v>7</v>
      </c>
      <c r="G15" s="2">
        <v>4</v>
      </c>
      <c r="H15" s="2">
        <v>5</v>
      </c>
      <c r="I15" s="2">
        <v>1</v>
      </c>
      <c r="J15" s="2">
        <v>6</v>
      </c>
      <c r="K15" s="2" t="s">
        <v>25</v>
      </c>
      <c r="L15" s="2" t="s">
        <v>26</v>
      </c>
      <c r="M15" s="2" t="s">
        <v>27</v>
      </c>
      <c r="N15" s="2" t="s">
        <v>28</v>
      </c>
      <c r="O15" s="2" t="s">
        <v>29</v>
      </c>
      <c r="P15" s="2" t="s">
        <v>30</v>
      </c>
      <c r="Q15" s="2" t="s">
        <v>31</v>
      </c>
      <c r="R15" s="2" t="s">
        <v>32</v>
      </c>
      <c r="S15" s="2" t="s">
        <v>33</v>
      </c>
      <c r="T15" s="2" t="s">
        <v>27</v>
      </c>
      <c r="U15" s="2" t="s">
        <v>56</v>
      </c>
      <c r="V15" s="2" t="s">
        <v>51</v>
      </c>
      <c r="W15" s="2" t="s">
        <v>59</v>
      </c>
      <c r="X15" s="2" t="s">
        <v>37</v>
      </c>
      <c r="Z15" t="s">
        <v>24</v>
      </c>
      <c r="AA15" t="s">
        <v>29</v>
      </c>
      <c r="AB15" t="s">
        <v>31</v>
      </c>
    </row>
    <row r="16" spans="1:28" x14ac:dyDescent="0.3">
      <c r="A16" s="2" t="s">
        <v>24</v>
      </c>
      <c r="B16" s="2">
        <v>25</v>
      </c>
      <c r="C16" s="2" t="s">
        <v>25</v>
      </c>
      <c r="D16" s="2">
        <v>2</v>
      </c>
      <c r="E16" s="2">
        <v>3</v>
      </c>
      <c r="F16" s="2">
        <v>7</v>
      </c>
      <c r="G16" s="2">
        <v>5</v>
      </c>
      <c r="H16" s="2">
        <v>4</v>
      </c>
      <c r="I16" s="2">
        <v>1</v>
      </c>
      <c r="J16" s="2">
        <v>6</v>
      </c>
      <c r="K16" s="2" t="s">
        <v>25</v>
      </c>
      <c r="L16" s="2" t="s">
        <v>26</v>
      </c>
      <c r="M16" s="2" t="s">
        <v>27</v>
      </c>
      <c r="N16" s="2" t="s">
        <v>28</v>
      </c>
      <c r="O16" s="2" t="s">
        <v>29</v>
      </c>
      <c r="P16" s="2" t="s">
        <v>30</v>
      </c>
      <c r="Q16" s="2" t="s">
        <v>31</v>
      </c>
      <c r="R16" s="2" t="s">
        <v>65</v>
      </c>
      <c r="S16" s="2" t="s">
        <v>42</v>
      </c>
      <c r="T16" s="2" t="s">
        <v>43</v>
      </c>
      <c r="U16" s="2" t="s">
        <v>34</v>
      </c>
      <c r="V16" s="2" t="s">
        <v>51</v>
      </c>
      <c r="W16" s="2" t="s">
        <v>59</v>
      </c>
      <c r="X16" s="2" t="s">
        <v>45</v>
      </c>
      <c r="Z16" t="s">
        <v>24</v>
      </c>
      <c r="AA16" t="s">
        <v>29</v>
      </c>
      <c r="AB16" t="s">
        <v>31</v>
      </c>
    </row>
    <row r="17" spans="1:28" x14ac:dyDescent="0.3">
      <c r="A17" s="2" t="s">
        <v>46</v>
      </c>
      <c r="B17" s="2">
        <v>27</v>
      </c>
      <c r="C17" s="2" t="s">
        <v>25</v>
      </c>
      <c r="D17" s="2">
        <v>2</v>
      </c>
      <c r="E17" s="2">
        <v>3</v>
      </c>
      <c r="F17" s="2">
        <v>7</v>
      </c>
      <c r="G17" s="2">
        <v>5</v>
      </c>
      <c r="H17" s="2">
        <v>4</v>
      </c>
      <c r="I17" s="2">
        <v>1</v>
      </c>
      <c r="J17" s="2">
        <v>6</v>
      </c>
      <c r="K17" s="2" t="s">
        <v>25</v>
      </c>
      <c r="L17" s="2" t="s">
        <v>26</v>
      </c>
      <c r="M17" s="2" t="s">
        <v>27</v>
      </c>
      <c r="N17" s="2" t="s">
        <v>28</v>
      </c>
      <c r="O17" s="2" t="s">
        <v>29</v>
      </c>
      <c r="P17" s="2" t="s">
        <v>30</v>
      </c>
      <c r="Q17" s="2" t="s">
        <v>31</v>
      </c>
      <c r="R17" s="2" t="s">
        <v>32</v>
      </c>
      <c r="S17" s="2" t="s">
        <v>42</v>
      </c>
      <c r="T17" s="2" t="s">
        <v>27</v>
      </c>
      <c r="U17" s="2" t="s">
        <v>56</v>
      </c>
      <c r="V17" s="2" t="s">
        <v>51</v>
      </c>
      <c r="W17" s="2" t="s">
        <v>59</v>
      </c>
      <c r="X17" s="2" t="s">
        <v>37</v>
      </c>
      <c r="Z17" t="s">
        <v>46</v>
      </c>
      <c r="AA17" t="s">
        <v>29</v>
      </c>
      <c r="AB17" t="s">
        <v>31</v>
      </c>
    </row>
    <row r="18" spans="1:28" x14ac:dyDescent="0.3">
      <c r="A18" s="2" t="s">
        <v>24</v>
      </c>
      <c r="B18" s="2">
        <v>28</v>
      </c>
      <c r="C18" s="2" t="s">
        <v>25</v>
      </c>
      <c r="D18" s="2">
        <v>3</v>
      </c>
      <c r="E18" s="2">
        <v>2</v>
      </c>
      <c r="F18" s="2">
        <v>7</v>
      </c>
      <c r="G18" s="2">
        <v>5</v>
      </c>
      <c r="H18" s="2">
        <v>4</v>
      </c>
      <c r="I18" s="2">
        <v>1</v>
      </c>
      <c r="J18" s="2">
        <v>6</v>
      </c>
      <c r="K18" s="2" t="s">
        <v>25</v>
      </c>
      <c r="L18" s="2" t="s">
        <v>60</v>
      </c>
      <c r="M18" s="2" t="s">
        <v>63</v>
      </c>
      <c r="N18" s="2" t="s">
        <v>28</v>
      </c>
      <c r="O18" s="2" t="s">
        <v>29</v>
      </c>
      <c r="P18" s="2" t="s">
        <v>30</v>
      </c>
      <c r="Q18" s="2" t="s">
        <v>31</v>
      </c>
      <c r="R18" s="2" t="s">
        <v>65</v>
      </c>
      <c r="S18" s="2" t="s">
        <v>42</v>
      </c>
      <c r="T18" s="2" t="s">
        <v>27</v>
      </c>
      <c r="U18" s="2" t="s">
        <v>56</v>
      </c>
      <c r="V18" s="2" t="s">
        <v>51</v>
      </c>
      <c r="W18" s="2" t="s">
        <v>59</v>
      </c>
      <c r="X18" s="2" t="s">
        <v>52</v>
      </c>
      <c r="Z18" t="s">
        <v>24</v>
      </c>
      <c r="AA18" t="s">
        <v>29</v>
      </c>
      <c r="AB18" t="s">
        <v>31</v>
      </c>
    </row>
    <row r="19" spans="1:28" x14ac:dyDescent="0.3">
      <c r="A19" s="2" t="s">
        <v>46</v>
      </c>
      <c r="B19" s="2">
        <v>27</v>
      </c>
      <c r="C19" s="2" t="s">
        <v>25</v>
      </c>
      <c r="D19" s="2">
        <v>3</v>
      </c>
      <c r="E19" s="2">
        <v>2</v>
      </c>
      <c r="F19" s="2">
        <v>7</v>
      </c>
      <c r="G19" s="2">
        <v>4</v>
      </c>
      <c r="H19" s="2">
        <v>5</v>
      </c>
      <c r="I19" s="2">
        <v>1</v>
      </c>
      <c r="J19" s="2">
        <v>6</v>
      </c>
      <c r="K19" s="2" t="s">
        <v>25</v>
      </c>
      <c r="L19" s="2" t="s">
        <v>26</v>
      </c>
      <c r="M19" s="2" t="s">
        <v>27</v>
      </c>
      <c r="N19" s="2" t="s">
        <v>28</v>
      </c>
      <c r="O19" s="2" t="s">
        <v>29</v>
      </c>
      <c r="P19" s="2" t="s">
        <v>30</v>
      </c>
      <c r="Q19" s="2" t="s">
        <v>31</v>
      </c>
      <c r="R19" s="2" t="s">
        <v>32</v>
      </c>
      <c r="S19" s="2" t="s">
        <v>33</v>
      </c>
      <c r="T19" s="2" t="s">
        <v>27</v>
      </c>
      <c r="U19" s="2" t="s">
        <v>34</v>
      </c>
      <c r="V19" s="2" t="s">
        <v>51</v>
      </c>
      <c r="W19" s="2" t="s">
        <v>59</v>
      </c>
      <c r="X19" s="2" t="s">
        <v>45</v>
      </c>
      <c r="Z19" t="s">
        <v>46</v>
      </c>
      <c r="AA19" t="s">
        <v>29</v>
      </c>
      <c r="AB19" t="s">
        <v>31</v>
      </c>
    </row>
    <row r="20" spans="1:28" x14ac:dyDescent="0.3">
      <c r="A20" s="2" t="s">
        <v>46</v>
      </c>
      <c r="B20" s="2">
        <v>29</v>
      </c>
      <c r="C20" s="2" t="s">
        <v>25</v>
      </c>
      <c r="D20" s="2">
        <v>3</v>
      </c>
      <c r="E20" s="2">
        <v>2</v>
      </c>
      <c r="F20" s="2">
        <v>7</v>
      </c>
      <c r="G20" s="2">
        <v>4</v>
      </c>
      <c r="H20" s="2">
        <v>5</v>
      </c>
      <c r="I20" s="2">
        <v>1</v>
      </c>
      <c r="J20" s="2">
        <v>6</v>
      </c>
      <c r="K20" s="2" t="s">
        <v>25</v>
      </c>
      <c r="L20" s="2" t="s">
        <v>60</v>
      </c>
      <c r="M20" s="2" t="s">
        <v>27</v>
      </c>
      <c r="N20" s="2" t="s">
        <v>28</v>
      </c>
      <c r="O20" s="2" t="s">
        <v>29</v>
      </c>
      <c r="P20" s="2" t="s">
        <v>30</v>
      </c>
      <c r="Q20" s="2" t="s">
        <v>31</v>
      </c>
      <c r="R20" s="2" t="s">
        <v>32</v>
      </c>
      <c r="S20" s="2" t="s">
        <v>33</v>
      </c>
      <c r="T20" s="2" t="s">
        <v>27</v>
      </c>
      <c r="U20" s="2" t="s">
        <v>34</v>
      </c>
      <c r="V20" s="2" t="s">
        <v>51</v>
      </c>
      <c r="W20" s="2" t="s">
        <v>59</v>
      </c>
      <c r="X20" s="2" t="s">
        <v>37</v>
      </c>
      <c r="Z20" t="s">
        <v>46</v>
      </c>
      <c r="AA20" t="s">
        <v>29</v>
      </c>
      <c r="AB20" t="s">
        <v>31</v>
      </c>
    </row>
    <row r="21" spans="1:28" x14ac:dyDescent="0.3">
      <c r="A21" s="2" t="s">
        <v>46</v>
      </c>
      <c r="B21" s="2">
        <v>26</v>
      </c>
      <c r="C21" s="2" t="s">
        <v>25</v>
      </c>
      <c r="D21" s="2">
        <v>3</v>
      </c>
      <c r="E21" s="2">
        <v>4</v>
      </c>
      <c r="F21" s="2">
        <v>6</v>
      </c>
      <c r="G21" s="2">
        <v>5</v>
      </c>
      <c r="H21" s="2">
        <v>1</v>
      </c>
      <c r="I21" s="2">
        <v>2</v>
      </c>
      <c r="J21" s="2">
        <v>7</v>
      </c>
      <c r="K21" s="2" t="s">
        <v>25</v>
      </c>
      <c r="L21" s="2" t="s">
        <v>60</v>
      </c>
      <c r="M21" s="2" t="s">
        <v>27</v>
      </c>
      <c r="N21" s="2" t="s">
        <v>28</v>
      </c>
      <c r="O21" s="2" t="s">
        <v>47</v>
      </c>
      <c r="P21" s="2" t="s">
        <v>30</v>
      </c>
      <c r="Q21" s="2" t="s">
        <v>31</v>
      </c>
      <c r="R21" s="2" t="s">
        <v>65</v>
      </c>
      <c r="S21" s="2" t="s">
        <v>42</v>
      </c>
      <c r="T21" s="2" t="s">
        <v>27</v>
      </c>
      <c r="U21" s="2" t="s">
        <v>56</v>
      </c>
      <c r="V21" s="2" t="s">
        <v>51</v>
      </c>
      <c r="W21" s="2" t="s">
        <v>59</v>
      </c>
      <c r="X21" s="2" t="s">
        <v>37</v>
      </c>
      <c r="Z21" t="s">
        <v>46</v>
      </c>
      <c r="AA21" t="s">
        <v>47</v>
      </c>
      <c r="AB21" t="s">
        <v>31</v>
      </c>
    </row>
    <row r="22" spans="1:28" x14ac:dyDescent="0.3">
      <c r="A22" s="2" t="s">
        <v>46</v>
      </c>
      <c r="B22" s="2">
        <v>29</v>
      </c>
      <c r="C22" s="2" t="s">
        <v>25</v>
      </c>
      <c r="D22" s="2">
        <v>2</v>
      </c>
      <c r="E22" s="2">
        <v>4</v>
      </c>
      <c r="F22" s="2">
        <v>7</v>
      </c>
      <c r="G22" s="2">
        <v>5</v>
      </c>
      <c r="H22" s="2">
        <v>3</v>
      </c>
      <c r="I22" s="2">
        <v>1</v>
      </c>
      <c r="J22" s="2">
        <v>6</v>
      </c>
      <c r="K22" s="2" t="s">
        <v>25</v>
      </c>
      <c r="L22" s="2" t="s">
        <v>26</v>
      </c>
      <c r="M22" s="2" t="s">
        <v>63</v>
      </c>
      <c r="N22" s="2" t="s">
        <v>28</v>
      </c>
      <c r="O22" s="2" t="s">
        <v>47</v>
      </c>
      <c r="P22" s="2" t="s">
        <v>41</v>
      </c>
      <c r="Q22" s="2" t="s">
        <v>31</v>
      </c>
      <c r="R22" s="2" t="s">
        <v>32</v>
      </c>
      <c r="S22" s="2" t="s">
        <v>33</v>
      </c>
      <c r="T22" s="2" t="s">
        <v>27</v>
      </c>
      <c r="U22" s="2" t="s">
        <v>34</v>
      </c>
      <c r="V22" s="2" t="s">
        <v>51</v>
      </c>
      <c r="W22" s="2" t="s">
        <v>36</v>
      </c>
      <c r="X22" s="2" t="s">
        <v>45</v>
      </c>
      <c r="Z22" t="s">
        <v>46</v>
      </c>
      <c r="AA22" t="s">
        <v>47</v>
      </c>
      <c r="AB22" t="s">
        <v>31</v>
      </c>
    </row>
    <row r="23" spans="1:28" x14ac:dyDescent="0.3">
      <c r="A23" s="2" t="s">
        <v>24</v>
      </c>
      <c r="B23" s="2">
        <v>24</v>
      </c>
      <c r="C23" s="2" t="s">
        <v>25</v>
      </c>
      <c r="D23" s="2">
        <v>2</v>
      </c>
      <c r="E23" s="2">
        <v>4</v>
      </c>
      <c r="F23" s="2">
        <v>5</v>
      </c>
      <c r="G23" s="2">
        <v>6</v>
      </c>
      <c r="H23" s="2">
        <v>3</v>
      </c>
      <c r="I23" s="2">
        <v>1</v>
      </c>
      <c r="J23" s="2">
        <v>7</v>
      </c>
      <c r="K23" s="2" t="s">
        <v>25</v>
      </c>
      <c r="L23" s="2" t="s">
        <v>60</v>
      </c>
      <c r="M23" s="2" t="s">
        <v>27</v>
      </c>
      <c r="N23" s="2" t="s">
        <v>28</v>
      </c>
      <c r="O23" s="2" t="s">
        <v>47</v>
      </c>
      <c r="P23" s="2" t="s">
        <v>30</v>
      </c>
      <c r="Q23" s="2" t="s">
        <v>31</v>
      </c>
      <c r="R23" s="2" t="s">
        <v>49</v>
      </c>
      <c r="S23" s="2" t="s">
        <v>42</v>
      </c>
      <c r="T23" s="2" t="s">
        <v>27</v>
      </c>
      <c r="U23" s="2" t="s">
        <v>34</v>
      </c>
      <c r="V23" s="2" t="s">
        <v>51</v>
      </c>
      <c r="W23" s="2" t="s">
        <v>59</v>
      </c>
      <c r="X23" s="2" t="s">
        <v>37</v>
      </c>
      <c r="Z23" t="s">
        <v>24</v>
      </c>
      <c r="AA23" t="s">
        <v>47</v>
      </c>
      <c r="AB23" t="s">
        <v>31</v>
      </c>
    </row>
    <row r="24" spans="1:28" x14ac:dyDescent="0.3">
      <c r="A24" s="2" t="s">
        <v>46</v>
      </c>
      <c r="B24" s="2">
        <v>27</v>
      </c>
      <c r="C24" s="2" t="s">
        <v>25</v>
      </c>
      <c r="D24" s="2">
        <v>3</v>
      </c>
      <c r="E24" s="2">
        <v>4</v>
      </c>
      <c r="F24" s="2">
        <v>6</v>
      </c>
      <c r="G24" s="2">
        <v>5</v>
      </c>
      <c r="H24" s="2">
        <v>2</v>
      </c>
      <c r="I24" s="2">
        <v>1</v>
      </c>
      <c r="J24" s="2">
        <v>7</v>
      </c>
      <c r="K24" s="2" t="s">
        <v>25</v>
      </c>
      <c r="L24" s="2" t="s">
        <v>26</v>
      </c>
      <c r="M24" s="2" t="s">
        <v>27</v>
      </c>
      <c r="N24" s="2" t="s">
        <v>28</v>
      </c>
      <c r="O24" s="2" t="s">
        <v>47</v>
      </c>
      <c r="P24" s="2" t="s">
        <v>30</v>
      </c>
      <c r="Q24" s="2" t="s">
        <v>31</v>
      </c>
      <c r="R24" s="2" t="s">
        <v>32</v>
      </c>
      <c r="S24" s="2" t="s">
        <v>33</v>
      </c>
      <c r="T24" s="2" t="s">
        <v>27</v>
      </c>
      <c r="U24" s="2" t="s">
        <v>34</v>
      </c>
      <c r="V24" s="2" t="s">
        <v>51</v>
      </c>
      <c r="W24" s="2" t="s">
        <v>59</v>
      </c>
      <c r="X24" s="2" t="s">
        <v>45</v>
      </c>
      <c r="Z24" t="s">
        <v>46</v>
      </c>
      <c r="AA24" t="s">
        <v>47</v>
      </c>
      <c r="AB24" t="s">
        <v>31</v>
      </c>
    </row>
    <row r="25" spans="1:28" x14ac:dyDescent="0.3">
      <c r="A25" s="2" t="s">
        <v>46</v>
      </c>
      <c r="B25" s="2">
        <v>25</v>
      </c>
      <c r="C25" s="2" t="s">
        <v>25</v>
      </c>
      <c r="D25" s="2">
        <v>2</v>
      </c>
      <c r="E25" s="2">
        <v>4</v>
      </c>
      <c r="F25" s="2">
        <v>6</v>
      </c>
      <c r="G25" s="2">
        <v>5</v>
      </c>
      <c r="H25" s="2">
        <v>3</v>
      </c>
      <c r="I25" s="2">
        <v>1</v>
      </c>
      <c r="J25" s="2">
        <v>7</v>
      </c>
      <c r="K25" s="2" t="s">
        <v>25</v>
      </c>
      <c r="L25" s="2" t="s">
        <v>60</v>
      </c>
      <c r="M25" s="2" t="s">
        <v>63</v>
      </c>
      <c r="N25" s="2" t="s">
        <v>64</v>
      </c>
      <c r="O25" s="2" t="s">
        <v>47</v>
      </c>
      <c r="P25" s="2" t="s">
        <v>41</v>
      </c>
      <c r="Q25" s="2" t="s">
        <v>31</v>
      </c>
      <c r="R25" s="2" t="s">
        <v>67</v>
      </c>
      <c r="S25" s="2" t="s">
        <v>42</v>
      </c>
      <c r="T25" s="2" t="s">
        <v>62</v>
      </c>
      <c r="U25" s="2" t="s">
        <v>34</v>
      </c>
      <c r="V25" s="2" t="s">
        <v>51</v>
      </c>
      <c r="W25" s="2" t="s">
        <v>59</v>
      </c>
      <c r="X25" s="2" t="s">
        <v>45</v>
      </c>
      <c r="Z25" t="s">
        <v>46</v>
      </c>
      <c r="AA25" t="s">
        <v>47</v>
      </c>
      <c r="AB25" t="s">
        <v>31</v>
      </c>
    </row>
    <row r="26" spans="1:28" x14ac:dyDescent="0.3">
      <c r="A26" s="2" t="s">
        <v>24</v>
      </c>
      <c r="B26" s="2">
        <v>26</v>
      </c>
      <c r="C26" s="2" t="s">
        <v>25</v>
      </c>
      <c r="D26" s="2">
        <v>2</v>
      </c>
      <c r="E26" s="2">
        <v>3</v>
      </c>
      <c r="F26" s="2">
        <v>7</v>
      </c>
      <c r="G26" s="2">
        <v>5</v>
      </c>
      <c r="H26" s="2">
        <v>4</v>
      </c>
      <c r="I26" s="2">
        <v>1</v>
      </c>
      <c r="J26" s="2">
        <v>6</v>
      </c>
      <c r="K26" s="2" t="s">
        <v>25</v>
      </c>
      <c r="L26" s="2" t="s">
        <v>26</v>
      </c>
      <c r="M26" s="2" t="s">
        <v>27</v>
      </c>
      <c r="N26" s="2" t="s">
        <v>28</v>
      </c>
      <c r="O26" s="2" t="s">
        <v>47</v>
      </c>
      <c r="P26" s="2" t="s">
        <v>30</v>
      </c>
      <c r="Q26" s="2" t="s">
        <v>61</v>
      </c>
      <c r="R26" s="2" t="s">
        <v>67</v>
      </c>
      <c r="S26" s="2" t="s">
        <v>33</v>
      </c>
      <c r="T26" s="2" t="s">
        <v>27</v>
      </c>
      <c r="U26" s="2" t="s">
        <v>34</v>
      </c>
      <c r="V26" s="2" t="s">
        <v>51</v>
      </c>
      <c r="W26" s="2" t="s">
        <v>59</v>
      </c>
      <c r="X26" s="2" t="s">
        <v>37</v>
      </c>
      <c r="Z26" t="s">
        <v>24</v>
      </c>
      <c r="AA26" t="s">
        <v>47</v>
      </c>
      <c r="AB26" t="s">
        <v>61</v>
      </c>
    </row>
    <row r="27" spans="1:28" x14ac:dyDescent="0.3">
      <c r="A27" s="2" t="s">
        <v>24</v>
      </c>
      <c r="B27" s="2">
        <v>32</v>
      </c>
      <c r="C27" s="2" t="s">
        <v>25</v>
      </c>
      <c r="D27" s="2">
        <v>3</v>
      </c>
      <c r="E27" s="2">
        <v>4</v>
      </c>
      <c r="F27" s="2">
        <v>7</v>
      </c>
      <c r="G27" s="2">
        <v>5</v>
      </c>
      <c r="H27" s="2">
        <v>1</v>
      </c>
      <c r="I27" s="2">
        <v>2</v>
      </c>
      <c r="J27" s="2">
        <v>6</v>
      </c>
      <c r="K27" s="2" t="s">
        <v>25</v>
      </c>
      <c r="L27" s="2" t="s">
        <v>60</v>
      </c>
      <c r="M27" s="2" t="s">
        <v>63</v>
      </c>
      <c r="N27" s="2" t="s">
        <v>28</v>
      </c>
      <c r="O27" s="2" t="s">
        <v>47</v>
      </c>
      <c r="P27" s="2" t="s">
        <v>30</v>
      </c>
      <c r="Q27" s="2" t="s">
        <v>31</v>
      </c>
      <c r="R27" s="2" t="s">
        <v>32</v>
      </c>
      <c r="S27" s="2" t="s">
        <v>33</v>
      </c>
      <c r="T27" s="2" t="s">
        <v>27</v>
      </c>
      <c r="U27" s="2" t="s">
        <v>34</v>
      </c>
      <c r="V27" s="2" t="s">
        <v>51</v>
      </c>
      <c r="W27" s="2" t="s">
        <v>36</v>
      </c>
      <c r="X27" s="2" t="s">
        <v>45</v>
      </c>
      <c r="Z27" t="s">
        <v>24</v>
      </c>
      <c r="AA27" t="s">
        <v>47</v>
      </c>
      <c r="AB27" t="s">
        <v>31</v>
      </c>
    </row>
    <row r="28" spans="1:28" x14ac:dyDescent="0.3">
      <c r="A28" s="2" t="s">
        <v>46</v>
      </c>
      <c r="B28" s="2">
        <v>26</v>
      </c>
      <c r="C28" s="2" t="s">
        <v>25</v>
      </c>
      <c r="D28" s="2">
        <v>3</v>
      </c>
      <c r="E28" s="2">
        <v>4</v>
      </c>
      <c r="F28" s="2">
        <v>6</v>
      </c>
      <c r="G28" s="2">
        <v>5</v>
      </c>
      <c r="H28" s="2">
        <v>1</v>
      </c>
      <c r="I28" s="2">
        <v>2</v>
      </c>
      <c r="J28" s="2">
        <v>7</v>
      </c>
      <c r="K28" s="2" t="s">
        <v>25</v>
      </c>
      <c r="L28" s="2" t="s">
        <v>26</v>
      </c>
      <c r="M28" s="2" t="s">
        <v>27</v>
      </c>
      <c r="N28" s="2" t="s">
        <v>28</v>
      </c>
      <c r="O28" s="2" t="s">
        <v>47</v>
      </c>
      <c r="P28" s="2" t="s">
        <v>30</v>
      </c>
      <c r="Q28" s="2" t="s">
        <v>31</v>
      </c>
      <c r="R28" s="2" t="s">
        <v>32</v>
      </c>
      <c r="S28" s="2" t="s">
        <v>33</v>
      </c>
      <c r="T28" s="2" t="s">
        <v>43</v>
      </c>
      <c r="U28" s="2" t="s">
        <v>56</v>
      </c>
      <c r="V28" s="2" t="s">
        <v>51</v>
      </c>
      <c r="W28" s="2" t="s">
        <v>36</v>
      </c>
      <c r="X28" s="2" t="s">
        <v>45</v>
      </c>
      <c r="Z28" t="s">
        <v>46</v>
      </c>
      <c r="AA28" t="s">
        <v>47</v>
      </c>
      <c r="AB28" t="s">
        <v>31</v>
      </c>
    </row>
    <row r="29" spans="1:28" x14ac:dyDescent="0.3">
      <c r="A29" s="2" t="s">
        <v>46</v>
      </c>
      <c r="B29" s="2">
        <v>31</v>
      </c>
      <c r="C29" s="2" t="s">
        <v>25</v>
      </c>
      <c r="D29" s="2">
        <v>2</v>
      </c>
      <c r="E29" s="2">
        <v>3</v>
      </c>
      <c r="F29" s="2">
        <v>7</v>
      </c>
      <c r="G29" s="2">
        <v>6</v>
      </c>
      <c r="H29" s="2">
        <v>4</v>
      </c>
      <c r="I29" s="2">
        <v>1</v>
      </c>
      <c r="J29" s="2">
        <v>5</v>
      </c>
      <c r="K29" s="2" t="s">
        <v>25</v>
      </c>
      <c r="L29" s="2" t="s">
        <v>60</v>
      </c>
      <c r="M29" s="2" t="s">
        <v>63</v>
      </c>
      <c r="N29" s="2" t="s">
        <v>64</v>
      </c>
      <c r="O29" s="2" t="s">
        <v>29</v>
      </c>
      <c r="P29" s="2" t="s">
        <v>30</v>
      </c>
      <c r="Q29" s="2" t="s">
        <v>31</v>
      </c>
      <c r="R29" s="2" t="s">
        <v>65</v>
      </c>
      <c r="S29" s="2" t="s">
        <v>42</v>
      </c>
      <c r="T29" s="2" t="s">
        <v>27</v>
      </c>
      <c r="U29" s="2" t="s">
        <v>56</v>
      </c>
      <c r="V29" s="2" t="s">
        <v>35</v>
      </c>
      <c r="W29" s="2" t="s">
        <v>36</v>
      </c>
      <c r="X29" s="2" t="s">
        <v>52</v>
      </c>
      <c r="Z29" t="s">
        <v>46</v>
      </c>
      <c r="AA29" t="s">
        <v>29</v>
      </c>
      <c r="AB29" t="s">
        <v>31</v>
      </c>
    </row>
    <row r="30" spans="1:28" x14ac:dyDescent="0.3">
      <c r="A30" s="2" t="s">
        <v>46</v>
      </c>
      <c r="B30" s="2">
        <v>29</v>
      </c>
      <c r="C30" s="2" t="s">
        <v>25</v>
      </c>
      <c r="D30" s="2">
        <v>2</v>
      </c>
      <c r="E30" s="2">
        <v>3</v>
      </c>
      <c r="F30" s="2">
        <v>6</v>
      </c>
      <c r="G30" s="2">
        <v>5</v>
      </c>
      <c r="H30" s="2">
        <v>1</v>
      </c>
      <c r="I30" s="2">
        <v>4</v>
      </c>
      <c r="J30" s="2">
        <v>7</v>
      </c>
      <c r="K30" s="2" t="s">
        <v>25</v>
      </c>
      <c r="L30" s="2" t="s">
        <v>26</v>
      </c>
      <c r="M30" s="2" t="s">
        <v>27</v>
      </c>
      <c r="N30" s="2" t="s">
        <v>28</v>
      </c>
      <c r="O30" s="2" t="s">
        <v>29</v>
      </c>
      <c r="P30" s="2" t="s">
        <v>30</v>
      </c>
      <c r="Q30" s="2" t="s">
        <v>31</v>
      </c>
      <c r="R30" s="2" t="s">
        <v>49</v>
      </c>
      <c r="S30" s="2" t="s">
        <v>33</v>
      </c>
      <c r="T30" s="2" t="s">
        <v>27</v>
      </c>
      <c r="U30" s="2" t="s">
        <v>34</v>
      </c>
      <c r="V30" s="2" t="s">
        <v>51</v>
      </c>
      <c r="W30" s="2" t="s">
        <v>59</v>
      </c>
      <c r="X30" s="2" t="s">
        <v>52</v>
      </c>
      <c r="Z30" t="s">
        <v>46</v>
      </c>
      <c r="AA30" t="s">
        <v>29</v>
      </c>
      <c r="AB30" t="s">
        <v>31</v>
      </c>
    </row>
    <row r="31" spans="1:28" x14ac:dyDescent="0.3">
      <c r="A31" s="2" t="s">
        <v>24</v>
      </c>
      <c r="B31" s="2">
        <v>34</v>
      </c>
      <c r="C31" s="2" t="s">
        <v>25</v>
      </c>
      <c r="D31" s="2">
        <v>5</v>
      </c>
      <c r="E31" s="2">
        <v>4</v>
      </c>
      <c r="F31" s="2">
        <v>3</v>
      </c>
      <c r="G31" s="2">
        <v>2</v>
      </c>
      <c r="H31" s="2">
        <v>7</v>
      </c>
      <c r="I31" s="2">
        <v>1</v>
      </c>
      <c r="J31" s="2">
        <v>6</v>
      </c>
      <c r="K31" s="2" t="s">
        <v>25</v>
      </c>
      <c r="L31" s="2" t="s">
        <v>26</v>
      </c>
      <c r="M31" s="2" t="s">
        <v>53</v>
      </c>
      <c r="N31" s="2" t="s">
        <v>26</v>
      </c>
      <c r="O31" s="2" t="s">
        <v>47</v>
      </c>
      <c r="P31" s="2" t="s">
        <v>30</v>
      </c>
      <c r="Q31" s="2" t="s">
        <v>55</v>
      </c>
      <c r="R31" s="2" t="s">
        <v>32</v>
      </c>
      <c r="S31" s="2" t="s">
        <v>33</v>
      </c>
      <c r="T31" s="2" t="s">
        <v>27</v>
      </c>
      <c r="U31" s="2" t="s">
        <v>50</v>
      </c>
      <c r="V31" s="2" t="s">
        <v>35</v>
      </c>
      <c r="W31" s="2" t="s">
        <v>36</v>
      </c>
      <c r="X31" s="2" t="s">
        <v>37</v>
      </c>
      <c r="Z31" t="s">
        <v>24</v>
      </c>
      <c r="AA31" t="s">
        <v>47</v>
      </c>
      <c r="AB31" t="s">
        <v>55</v>
      </c>
    </row>
    <row r="32" spans="1:28" x14ac:dyDescent="0.3">
      <c r="A32" s="2" t="s">
        <v>46</v>
      </c>
      <c r="B32" s="2">
        <v>27</v>
      </c>
      <c r="C32" s="2" t="s">
        <v>25</v>
      </c>
      <c r="D32" s="2">
        <v>4</v>
      </c>
      <c r="E32" s="2">
        <v>5</v>
      </c>
      <c r="F32" s="2">
        <v>1</v>
      </c>
      <c r="G32" s="2">
        <v>2</v>
      </c>
      <c r="H32" s="2">
        <v>7</v>
      </c>
      <c r="I32" s="2">
        <v>3</v>
      </c>
      <c r="J32" s="2">
        <v>6</v>
      </c>
      <c r="K32" s="2" t="s">
        <v>38</v>
      </c>
      <c r="L32" s="2" t="s">
        <v>26</v>
      </c>
      <c r="M32" s="2" t="s">
        <v>63</v>
      </c>
      <c r="N32" s="2" t="s">
        <v>28</v>
      </c>
      <c r="O32" s="2" t="s">
        <v>29</v>
      </c>
      <c r="P32" s="2" t="s">
        <v>30</v>
      </c>
      <c r="Q32" s="2" t="s">
        <v>55</v>
      </c>
      <c r="R32" s="2" t="s">
        <v>32</v>
      </c>
      <c r="S32" s="2" t="s">
        <v>66</v>
      </c>
      <c r="T32" s="2" t="s">
        <v>27</v>
      </c>
      <c r="U32" s="2" t="s">
        <v>50</v>
      </c>
      <c r="V32" s="2" t="s">
        <v>35</v>
      </c>
      <c r="W32" s="2" t="s">
        <v>36</v>
      </c>
      <c r="X32" s="2" t="s">
        <v>52</v>
      </c>
      <c r="Z32" t="s">
        <v>46</v>
      </c>
      <c r="AA32" t="s">
        <v>29</v>
      </c>
      <c r="AB32" t="s">
        <v>55</v>
      </c>
    </row>
    <row r="33" spans="1:28" x14ac:dyDescent="0.3">
      <c r="A33" s="2" t="s">
        <v>24</v>
      </c>
      <c r="B33" s="2">
        <v>31</v>
      </c>
      <c r="C33" s="2" t="s">
        <v>25</v>
      </c>
      <c r="D33" s="2">
        <v>2</v>
      </c>
      <c r="E33" s="2">
        <v>4</v>
      </c>
      <c r="F33" s="2">
        <v>7</v>
      </c>
      <c r="G33" s="2">
        <v>6</v>
      </c>
      <c r="H33" s="2">
        <v>3</v>
      </c>
      <c r="I33" s="2">
        <v>1</v>
      </c>
      <c r="J33" s="2">
        <v>5</v>
      </c>
      <c r="K33" s="2" t="s">
        <v>25</v>
      </c>
      <c r="L33" s="2" t="s">
        <v>26</v>
      </c>
      <c r="M33" s="2" t="s">
        <v>27</v>
      </c>
      <c r="N33" s="2" t="s">
        <v>28</v>
      </c>
      <c r="O33" s="2" t="s">
        <v>47</v>
      </c>
      <c r="P33" s="2" t="s">
        <v>30</v>
      </c>
      <c r="Q33" s="2" t="s">
        <v>31</v>
      </c>
      <c r="R33" s="2" t="s">
        <v>65</v>
      </c>
      <c r="S33" s="2" t="s">
        <v>33</v>
      </c>
      <c r="T33" s="2" t="s">
        <v>27</v>
      </c>
      <c r="U33" s="2" t="s">
        <v>34</v>
      </c>
      <c r="V33" s="2" t="s">
        <v>51</v>
      </c>
      <c r="W33" s="2" t="s">
        <v>36</v>
      </c>
      <c r="X33" s="2" t="s">
        <v>45</v>
      </c>
      <c r="Z33" t="s">
        <v>24</v>
      </c>
      <c r="AA33" t="s">
        <v>47</v>
      </c>
      <c r="AB33" t="s">
        <v>31</v>
      </c>
    </row>
    <row r="34" spans="1:28" x14ac:dyDescent="0.3">
      <c r="A34" s="2" t="s">
        <v>46</v>
      </c>
      <c r="B34" s="2">
        <v>27</v>
      </c>
      <c r="C34" s="2" t="s">
        <v>25</v>
      </c>
      <c r="D34" s="2">
        <v>2</v>
      </c>
      <c r="E34" s="2">
        <v>4</v>
      </c>
      <c r="F34" s="2">
        <v>7</v>
      </c>
      <c r="G34" s="2">
        <v>5</v>
      </c>
      <c r="H34" s="2">
        <v>1</v>
      </c>
      <c r="I34" s="2">
        <v>3</v>
      </c>
      <c r="J34" s="2">
        <v>6</v>
      </c>
      <c r="K34" s="2" t="s">
        <v>25</v>
      </c>
      <c r="L34" s="2" t="s">
        <v>26</v>
      </c>
      <c r="M34" s="2" t="s">
        <v>27</v>
      </c>
      <c r="N34" s="2" t="s">
        <v>28</v>
      </c>
      <c r="O34" s="2" t="s">
        <v>47</v>
      </c>
      <c r="P34" s="2" t="s">
        <v>30</v>
      </c>
      <c r="Q34" s="2" t="s">
        <v>61</v>
      </c>
      <c r="R34" s="2" t="s">
        <v>49</v>
      </c>
      <c r="S34" s="2" t="s">
        <v>42</v>
      </c>
      <c r="T34" s="2" t="s">
        <v>27</v>
      </c>
      <c r="U34" s="2" t="s">
        <v>56</v>
      </c>
      <c r="V34" s="2" t="s">
        <v>51</v>
      </c>
      <c r="W34" s="2" t="s">
        <v>36</v>
      </c>
      <c r="X34" s="2" t="s">
        <v>37</v>
      </c>
      <c r="Z34" t="s">
        <v>46</v>
      </c>
      <c r="AA34" t="s">
        <v>47</v>
      </c>
      <c r="AB34" t="s">
        <v>61</v>
      </c>
    </row>
    <row r="35" spans="1:28" x14ac:dyDescent="0.3">
      <c r="A35" s="2" t="s">
        <v>46</v>
      </c>
      <c r="B35" s="2">
        <v>26</v>
      </c>
      <c r="C35" s="2" t="s">
        <v>25</v>
      </c>
      <c r="D35" s="2">
        <v>2</v>
      </c>
      <c r="E35" s="2">
        <v>3</v>
      </c>
      <c r="F35" s="2">
        <v>6</v>
      </c>
      <c r="G35" s="2">
        <v>4</v>
      </c>
      <c r="H35" s="2">
        <v>1</v>
      </c>
      <c r="I35" s="2">
        <v>5</v>
      </c>
      <c r="J35" s="2">
        <v>7</v>
      </c>
      <c r="K35" s="2" t="s">
        <v>25</v>
      </c>
      <c r="L35" s="2" t="s">
        <v>26</v>
      </c>
      <c r="M35" s="2" t="s">
        <v>27</v>
      </c>
      <c r="N35" s="2" t="s">
        <v>26</v>
      </c>
      <c r="O35" s="2" t="s">
        <v>29</v>
      </c>
      <c r="P35" s="2" t="s">
        <v>30</v>
      </c>
      <c r="Q35" s="2" t="s">
        <v>31</v>
      </c>
      <c r="R35" s="2" t="s">
        <v>65</v>
      </c>
      <c r="S35" s="2" t="s">
        <v>66</v>
      </c>
      <c r="T35" s="2" t="s">
        <v>43</v>
      </c>
      <c r="U35" s="2" t="s">
        <v>34</v>
      </c>
      <c r="V35" s="2" t="s">
        <v>35</v>
      </c>
      <c r="W35" s="2" t="s">
        <v>59</v>
      </c>
      <c r="X35" s="2" t="s">
        <v>37</v>
      </c>
      <c r="Z35" t="s">
        <v>46</v>
      </c>
      <c r="AA35" t="s">
        <v>29</v>
      </c>
      <c r="AB35" t="s">
        <v>31</v>
      </c>
    </row>
    <row r="36" spans="1:28" x14ac:dyDescent="0.3">
      <c r="A36" s="2" t="s">
        <v>46</v>
      </c>
      <c r="B36" s="2">
        <v>27</v>
      </c>
      <c r="C36" s="2" t="s">
        <v>25</v>
      </c>
      <c r="D36" s="2">
        <v>2</v>
      </c>
      <c r="E36" s="2">
        <v>3</v>
      </c>
      <c r="F36" s="2">
        <v>6</v>
      </c>
      <c r="G36" s="2">
        <v>5</v>
      </c>
      <c r="H36" s="2">
        <v>4</v>
      </c>
      <c r="I36" s="2">
        <v>1</v>
      </c>
      <c r="J36" s="2">
        <v>7</v>
      </c>
      <c r="K36" s="2" t="s">
        <v>25</v>
      </c>
      <c r="L36" s="2" t="s">
        <v>26</v>
      </c>
      <c r="M36" s="2" t="s">
        <v>27</v>
      </c>
      <c r="N36" s="2" t="s">
        <v>28</v>
      </c>
      <c r="O36" s="2" t="s">
        <v>29</v>
      </c>
      <c r="P36" s="2" t="s">
        <v>41</v>
      </c>
      <c r="Q36" s="2" t="s">
        <v>31</v>
      </c>
      <c r="R36" s="2" t="s">
        <v>32</v>
      </c>
      <c r="S36" s="2" t="s">
        <v>42</v>
      </c>
      <c r="T36" s="2" t="s">
        <v>27</v>
      </c>
      <c r="U36" s="2" t="s">
        <v>34</v>
      </c>
      <c r="V36" s="2" t="s">
        <v>35</v>
      </c>
      <c r="W36" s="2" t="s">
        <v>36</v>
      </c>
      <c r="X36" s="2" t="s">
        <v>45</v>
      </c>
      <c r="Z36" t="s">
        <v>46</v>
      </c>
      <c r="AA36" t="s">
        <v>29</v>
      </c>
      <c r="AB36" t="s">
        <v>31</v>
      </c>
    </row>
    <row r="37" spans="1:28" x14ac:dyDescent="0.3">
      <c r="A37" s="2" t="s">
        <v>46</v>
      </c>
      <c r="B37" s="2">
        <v>30</v>
      </c>
      <c r="C37" s="2" t="s">
        <v>25</v>
      </c>
      <c r="D37" s="2">
        <v>1</v>
      </c>
      <c r="E37" s="2">
        <v>4</v>
      </c>
      <c r="F37" s="2">
        <v>6</v>
      </c>
      <c r="G37" s="2">
        <v>5</v>
      </c>
      <c r="H37" s="2">
        <v>3</v>
      </c>
      <c r="I37" s="2">
        <v>2</v>
      </c>
      <c r="J37" s="2">
        <v>7</v>
      </c>
      <c r="K37" s="2" t="s">
        <v>25</v>
      </c>
      <c r="L37" s="2" t="s">
        <v>60</v>
      </c>
      <c r="M37" s="2" t="s">
        <v>63</v>
      </c>
      <c r="N37" s="2" t="s">
        <v>28</v>
      </c>
      <c r="O37" s="2" t="s">
        <v>47</v>
      </c>
      <c r="P37" s="2" t="s">
        <v>30</v>
      </c>
      <c r="Q37" s="2" t="s">
        <v>31</v>
      </c>
      <c r="R37" s="2" t="s">
        <v>65</v>
      </c>
      <c r="S37" s="2" t="s">
        <v>42</v>
      </c>
      <c r="T37" s="2" t="s">
        <v>27</v>
      </c>
      <c r="U37" s="2" t="s">
        <v>34</v>
      </c>
      <c r="V37" s="2" t="s">
        <v>51</v>
      </c>
      <c r="W37" s="2" t="s">
        <v>36</v>
      </c>
      <c r="X37" s="2" t="s">
        <v>45</v>
      </c>
      <c r="Z37" t="s">
        <v>46</v>
      </c>
      <c r="AA37" t="s">
        <v>47</v>
      </c>
      <c r="AB37" t="s">
        <v>31</v>
      </c>
    </row>
    <row r="38" spans="1:28" x14ac:dyDescent="0.3">
      <c r="A38" s="2" t="s">
        <v>46</v>
      </c>
      <c r="B38" s="2">
        <v>30</v>
      </c>
      <c r="C38" s="2" t="s">
        <v>25</v>
      </c>
      <c r="D38" s="2">
        <v>2</v>
      </c>
      <c r="E38" s="2">
        <v>4</v>
      </c>
      <c r="F38" s="2">
        <v>7</v>
      </c>
      <c r="G38" s="2">
        <v>5</v>
      </c>
      <c r="H38" s="2">
        <v>1</v>
      </c>
      <c r="I38" s="2">
        <v>3</v>
      </c>
      <c r="J38" s="2">
        <v>6</v>
      </c>
      <c r="K38" s="2" t="s">
        <v>25</v>
      </c>
      <c r="L38" s="2" t="s">
        <v>26</v>
      </c>
      <c r="M38" s="2" t="s">
        <v>27</v>
      </c>
      <c r="N38" s="2" t="s">
        <v>28</v>
      </c>
      <c r="O38" s="2" t="s">
        <v>29</v>
      </c>
      <c r="P38" s="2" t="s">
        <v>30</v>
      </c>
      <c r="Q38" s="2" t="s">
        <v>31</v>
      </c>
      <c r="R38" s="2" t="s">
        <v>49</v>
      </c>
      <c r="S38" s="2" t="s">
        <v>33</v>
      </c>
      <c r="T38" s="2" t="s">
        <v>27</v>
      </c>
      <c r="U38" s="2" t="s">
        <v>34</v>
      </c>
      <c r="V38" s="2" t="s">
        <v>51</v>
      </c>
      <c r="W38" s="2" t="s">
        <v>59</v>
      </c>
      <c r="X38" s="2" t="s">
        <v>37</v>
      </c>
      <c r="Z38" t="s">
        <v>46</v>
      </c>
      <c r="AA38" t="s">
        <v>29</v>
      </c>
      <c r="AB38" t="s">
        <v>31</v>
      </c>
    </row>
    <row r="39" spans="1:28" x14ac:dyDescent="0.3">
      <c r="A39" s="2" t="s">
        <v>46</v>
      </c>
      <c r="B39" s="2">
        <v>25</v>
      </c>
      <c r="C39" s="2" t="s">
        <v>25</v>
      </c>
      <c r="D39" s="2">
        <v>5</v>
      </c>
      <c r="E39" s="2">
        <v>4</v>
      </c>
      <c r="F39" s="2">
        <v>7</v>
      </c>
      <c r="G39" s="2">
        <v>6</v>
      </c>
      <c r="H39" s="2">
        <v>1</v>
      </c>
      <c r="I39" s="2">
        <v>2</v>
      </c>
      <c r="J39" s="2">
        <v>3</v>
      </c>
      <c r="K39" s="2" t="s">
        <v>25</v>
      </c>
      <c r="L39" s="2" t="s">
        <v>60</v>
      </c>
      <c r="M39" s="2" t="s">
        <v>63</v>
      </c>
      <c r="N39" s="2" t="s">
        <v>64</v>
      </c>
      <c r="O39" s="2" t="s">
        <v>47</v>
      </c>
      <c r="P39" s="2" t="s">
        <v>30</v>
      </c>
      <c r="Q39" s="2" t="s">
        <v>61</v>
      </c>
      <c r="R39" s="2" t="s">
        <v>67</v>
      </c>
      <c r="S39" s="2" t="s">
        <v>42</v>
      </c>
      <c r="T39" s="2" t="s">
        <v>27</v>
      </c>
      <c r="U39" s="2" t="s">
        <v>34</v>
      </c>
      <c r="V39" s="2" t="s">
        <v>35</v>
      </c>
      <c r="W39" s="2" t="s">
        <v>36</v>
      </c>
      <c r="X39" s="2" t="s">
        <v>45</v>
      </c>
      <c r="Z39" t="s">
        <v>46</v>
      </c>
      <c r="AA39" t="s">
        <v>47</v>
      </c>
      <c r="AB39" t="s">
        <v>61</v>
      </c>
    </row>
    <row r="40" spans="1:28" x14ac:dyDescent="0.3">
      <c r="A40" s="2" t="s">
        <v>46</v>
      </c>
      <c r="B40" s="2">
        <v>31</v>
      </c>
      <c r="C40" s="2" t="s">
        <v>25</v>
      </c>
      <c r="D40" s="2">
        <v>2</v>
      </c>
      <c r="E40" s="2">
        <v>4</v>
      </c>
      <c r="F40" s="2">
        <v>7</v>
      </c>
      <c r="G40" s="2">
        <v>5</v>
      </c>
      <c r="H40" s="2">
        <v>3</v>
      </c>
      <c r="I40" s="2">
        <v>1</v>
      </c>
      <c r="J40" s="2">
        <v>6</v>
      </c>
      <c r="K40" s="2" t="s">
        <v>25</v>
      </c>
      <c r="L40" s="2" t="s">
        <v>60</v>
      </c>
      <c r="M40" s="2" t="s">
        <v>63</v>
      </c>
      <c r="N40" s="2" t="s">
        <v>28</v>
      </c>
      <c r="O40" s="2" t="s">
        <v>29</v>
      </c>
      <c r="P40" s="2" t="s">
        <v>41</v>
      </c>
      <c r="Q40" s="2" t="s">
        <v>31</v>
      </c>
      <c r="R40" s="2" t="s">
        <v>49</v>
      </c>
      <c r="S40" s="2" t="s">
        <v>42</v>
      </c>
      <c r="T40" s="2" t="s">
        <v>43</v>
      </c>
      <c r="U40" s="2" t="s">
        <v>56</v>
      </c>
      <c r="V40" s="2" t="s">
        <v>51</v>
      </c>
      <c r="W40" s="2" t="s">
        <v>36</v>
      </c>
      <c r="X40" s="2" t="s">
        <v>37</v>
      </c>
      <c r="Z40" t="s">
        <v>46</v>
      </c>
      <c r="AA40" t="s">
        <v>29</v>
      </c>
      <c r="AB40" t="s">
        <v>31</v>
      </c>
    </row>
    <row r="41" spans="1:28" x14ac:dyDescent="0.3">
      <c r="A41" s="2" t="s">
        <v>46</v>
      </c>
      <c r="B41" s="2">
        <v>29</v>
      </c>
      <c r="C41" s="2" t="s">
        <v>25</v>
      </c>
      <c r="D41" s="2">
        <v>4</v>
      </c>
      <c r="E41" s="2">
        <v>3</v>
      </c>
      <c r="F41" s="2">
        <v>5</v>
      </c>
      <c r="G41" s="2">
        <v>7</v>
      </c>
      <c r="H41" s="2">
        <v>2</v>
      </c>
      <c r="I41" s="2">
        <v>1</v>
      </c>
      <c r="J41" s="2">
        <v>6</v>
      </c>
      <c r="K41" s="2" t="s">
        <v>25</v>
      </c>
      <c r="L41" s="2" t="s">
        <v>26</v>
      </c>
      <c r="M41" s="2" t="s">
        <v>27</v>
      </c>
      <c r="N41" s="2" t="s">
        <v>28</v>
      </c>
      <c r="O41" s="2" t="s">
        <v>47</v>
      </c>
      <c r="P41" s="2" t="s">
        <v>30</v>
      </c>
      <c r="Q41" s="2" t="s">
        <v>31</v>
      </c>
      <c r="R41" s="2" t="s">
        <v>65</v>
      </c>
      <c r="S41" s="2" t="s">
        <v>33</v>
      </c>
      <c r="T41" s="2" t="s">
        <v>43</v>
      </c>
      <c r="U41" s="2" t="s">
        <v>34</v>
      </c>
      <c r="V41" s="2" t="s">
        <v>35</v>
      </c>
      <c r="W41" s="2" t="s">
        <v>36</v>
      </c>
      <c r="X41" s="2" t="s">
        <v>45</v>
      </c>
      <c r="Z41" t="s">
        <v>46</v>
      </c>
      <c r="AA41" t="s">
        <v>47</v>
      </c>
      <c r="AB4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99E25-5A9B-4455-9B27-B45F132AFBA6}">
  <dimension ref="A1:H41"/>
  <sheetViews>
    <sheetView workbookViewId="0">
      <selection activeCell="I26" sqref="I26"/>
    </sheetView>
  </sheetViews>
  <sheetFormatPr defaultRowHeight="14.4" x14ac:dyDescent="0.3"/>
  <cols>
    <col min="1" max="3" width="8.88671875" style="2"/>
  </cols>
  <sheetData>
    <row r="1" spans="1:8" x14ac:dyDescent="0.3">
      <c r="A1" s="3" t="s">
        <v>68</v>
      </c>
      <c r="B1" s="3" t="s">
        <v>14</v>
      </c>
      <c r="C1" s="3" t="s">
        <v>16</v>
      </c>
    </row>
    <row r="2" spans="1:8" x14ac:dyDescent="0.3">
      <c r="A2" s="2">
        <f>IF('Dataset 1'!Z2="Male",1,0)</f>
        <v>0</v>
      </c>
      <c r="B2" s="2">
        <f>IF('Dataset 1'!AA2="Less than 1 year",0.5, IF('Dataset 1'!AA2="1-3 years",2, IF('Dataset 1'!AA2="3-5 years",4, IF('Dataset 1'!AA2="More than 5 years",6,""))))</f>
        <v>2</v>
      </c>
      <c r="C2" s="2">
        <f>IF('Dataset 1'!AB2="10%-20%",15, IF('Dataset 1'!AB2="20%-30%",25, IF('Dataset 1'!AB2="30%-40%",35, IF('Dataset 1'!AB2="40%-50%",45, IF('Dataset 1'!AB2="Less than 10%",5,"")))))</f>
        <v>25</v>
      </c>
      <c r="E2" s="4"/>
      <c r="F2" s="4" t="s">
        <v>68</v>
      </c>
      <c r="G2" s="4" t="s">
        <v>14</v>
      </c>
      <c r="H2" s="4" t="s">
        <v>16</v>
      </c>
    </row>
    <row r="3" spans="1:8" x14ac:dyDescent="0.3">
      <c r="A3" s="2">
        <f>IF('Dataset 1'!Z3="Male",1,0)</f>
        <v>0</v>
      </c>
      <c r="B3" s="2">
        <f>IF('Dataset 1'!AA3="Less than 1 year",0.5, IF('Dataset 1'!AA3="1-3 years",2, IF('Dataset 1'!AA3="3-5 years",4, IF('Dataset 1'!AA3="More than 5 years",6,""))))</f>
        <v>6</v>
      </c>
      <c r="C3" s="2">
        <f>IF('Dataset 1'!AB3="10%-20%",15, IF('Dataset 1'!AB3="20%-30%",25, IF('Dataset 1'!AB3="30%-40%",35, IF('Dataset 1'!AB3="40%-50%",45, IF('Dataset 1'!AB3="Less than 10%",5,"")))))</f>
        <v>25</v>
      </c>
      <c r="E3" s="2" t="s">
        <v>68</v>
      </c>
      <c r="F3" s="2">
        <v>1</v>
      </c>
      <c r="G3" s="2"/>
      <c r="H3" s="2"/>
    </row>
    <row r="4" spans="1:8" x14ac:dyDescent="0.3">
      <c r="A4" s="2">
        <f>IF('Dataset 1'!Z4="Male",1,0)</f>
        <v>1</v>
      </c>
      <c r="B4" s="2">
        <f>IF('Dataset 1'!AA4="Less than 1 year",0.5, IF('Dataset 1'!AA4="1-3 years",2, IF('Dataset 1'!AA4="3-5 years",4, IF('Dataset 1'!AA4="More than 5 years",6,""))))</f>
        <v>4</v>
      </c>
      <c r="C4" s="2">
        <f>IF('Dataset 1'!AB4="10%-20%",15, IF('Dataset 1'!AB4="20%-30%",25, IF('Dataset 1'!AB4="30%-40%",35, IF('Dataset 1'!AB4="40%-50%",45, IF('Dataset 1'!AB4="Less than 10%",5,"")))))</f>
        <v>25</v>
      </c>
      <c r="E4" s="2" t="s">
        <v>14</v>
      </c>
      <c r="F4" s="2">
        <v>-8.0081190096476934E-2</v>
      </c>
      <c r="G4" s="2">
        <v>1</v>
      </c>
      <c r="H4" s="2"/>
    </row>
    <row r="5" spans="1:8" x14ac:dyDescent="0.3">
      <c r="A5" s="2">
        <f>IF('Dataset 1'!Z5="Male",1,0)</f>
        <v>1</v>
      </c>
      <c r="B5" s="2">
        <f>IF('Dataset 1'!AA5="Less than 1 year",0.5, IF('Dataset 1'!AA5="1-3 years",2, IF('Dataset 1'!AA5="3-5 years",4, IF('Dataset 1'!AA5="More than 5 years",6,""))))</f>
        <v>0.5</v>
      </c>
      <c r="C5" s="2">
        <f>IF('Dataset 1'!AB5="10%-20%",15, IF('Dataset 1'!AB5="20%-30%",25, IF('Dataset 1'!AB5="30%-40%",35, IF('Dataset 1'!AB5="40%-50%",45, IF('Dataset 1'!AB5="Less than 10%",5,"")))))</f>
        <v>15</v>
      </c>
      <c r="E5" s="2" t="s">
        <v>16</v>
      </c>
      <c r="F5" s="2">
        <v>-2.9049644688706338E-2</v>
      </c>
      <c r="G5" s="2">
        <v>0.25822264315920551</v>
      </c>
      <c r="H5" s="2">
        <v>1</v>
      </c>
    </row>
    <row r="6" spans="1:8" x14ac:dyDescent="0.3">
      <c r="A6" s="2">
        <f>IF('Dataset 1'!Z6="Male",1,0)</f>
        <v>0</v>
      </c>
      <c r="B6" s="2">
        <f>IF('Dataset 1'!AA6="Less than 1 year",0.5, IF('Dataset 1'!AA6="1-3 years",2, IF('Dataset 1'!AA6="3-5 years",4, IF('Dataset 1'!AA6="More than 5 years",6,""))))</f>
        <v>0.5</v>
      </c>
      <c r="C6" s="2">
        <f>IF('Dataset 1'!AB6="10%-20%",15, IF('Dataset 1'!AB6="20%-30%",25, IF('Dataset 1'!AB6="30%-40%",35, IF('Dataset 1'!AB6="40%-50%",45, IF('Dataset 1'!AB6="Less than 10%",5,"")))))</f>
        <v>25</v>
      </c>
    </row>
    <row r="7" spans="1:8" x14ac:dyDescent="0.3">
      <c r="A7" s="2">
        <f>IF('Dataset 1'!Z7="Male",1,0)</f>
        <v>0</v>
      </c>
      <c r="B7" s="2">
        <f>IF('Dataset 1'!AA7="Less than 1 year",0.5, IF('Dataset 1'!AA7="1-3 years",2, IF('Dataset 1'!AA7="3-5 years",4, IF('Dataset 1'!AA7="More than 5 years",6,""))))</f>
        <v>2</v>
      </c>
      <c r="C7" s="2">
        <f>IF('Dataset 1'!AB7="10%-20%",15, IF('Dataset 1'!AB7="20%-30%",25, IF('Dataset 1'!AB7="30%-40%",35, IF('Dataset 1'!AB7="40%-50%",45, IF('Dataset 1'!AB7="Less than 10%",5,"")))))</f>
        <v>35</v>
      </c>
    </row>
    <row r="8" spans="1:8" x14ac:dyDescent="0.3">
      <c r="A8" s="2">
        <f>IF('Dataset 1'!Z8="Male",1,0)</f>
        <v>0</v>
      </c>
      <c r="B8" s="2">
        <f>IF('Dataset 1'!AA8="Less than 1 year",0.5, IF('Dataset 1'!AA8="1-3 years",2, IF('Dataset 1'!AA8="3-5 years",4, IF('Dataset 1'!AA8="More than 5 years",6,""))))</f>
        <v>4</v>
      </c>
      <c r="C8" s="2">
        <f>IF('Dataset 1'!AB8="10%-20%",15, IF('Dataset 1'!AB8="20%-30%",25, IF('Dataset 1'!AB8="30%-40%",35, IF('Dataset 1'!AB8="40%-50%",45, IF('Dataset 1'!AB8="Less than 10%",5,"")))))</f>
        <v>25</v>
      </c>
    </row>
    <row r="9" spans="1:8" x14ac:dyDescent="0.3">
      <c r="A9" s="2">
        <f>IF('Dataset 1'!Z9="Male",1,0)</f>
        <v>1</v>
      </c>
      <c r="B9" s="2">
        <f>IF('Dataset 1'!AA9="Less than 1 year",0.5, IF('Dataset 1'!AA9="1-3 years",2, IF('Dataset 1'!AA9="3-5 years",4, IF('Dataset 1'!AA9="More than 5 years",6,""))))</f>
        <v>4</v>
      </c>
      <c r="C9" s="2">
        <f>IF('Dataset 1'!AB9="10%-20%",15, IF('Dataset 1'!AB9="20%-30%",25, IF('Dataset 1'!AB9="30%-40%",35, IF('Dataset 1'!AB9="40%-50%",45, IF('Dataset 1'!AB9="Less than 10%",5,"")))))</f>
        <v>25</v>
      </c>
    </row>
    <row r="10" spans="1:8" x14ac:dyDescent="0.3">
      <c r="A10" s="2">
        <f>IF('Dataset 1'!Z10="Male",1,0)</f>
        <v>1</v>
      </c>
      <c r="B10" s="2">
        <f>IF('Dataset 1'!AA10="Less than 1 year",0.5, IF('Dataset 1'!AA10="1-3 years",2, IF('Dataset 1'!AA10="3-5 years",4, IF('Dataset 1'!AA10="More than 5 years",6,""))))</f>
        <v>2</v>
      </c>
      <c r="C10" s="2">
        <f>IF('Dataset 1'!AB10="10%-20%",15, IF('Dataset 1'!AB10="20%-30%",25, IF('Dataset 1'!AB10="30%-40%",35, IF('Dataset 1'!AB10="40%-50%",45, IF('Dataset 1'!AB10="Less than 10%",5,"")))))</f>
        <v>25</v>
      </c>
    </row>
    <row r="11" spans="1:8" x14ac:dyDescent="0.3">
      <c r="A11" s="2">
        <f>IF('Dataset 1'!Z11="Male",1,0)</f>
        <v>1</v>
      </c>
      <c r="B11" s="2">
        <f>IF('Dataset 1'!AA11="Less than 1 year",0.5, IF('Dataset 1'!AA11="1-3 years",2, IF('Dataset 1'!AA11="3-5 years",4, IF('Dataset 1'!AA11="More than 5 years",6,""))))</f>
        <v>4</v>
      </c>
      <c r="C11" s="2">
        <f>IF('Dataset 1'!AB11="10%-20%",15, IF('Dataset 1'!AB11="20%-30%",25, IF('Dataset 1'!AB11="30%-40%",35, IF('Dataset 1'!AB11="40%-50%",45, IF('Dataset 1'!AB11="Less than 10%",5,"")))))</f>
        <v>35</v>
      </c>
    </row>
    <row r="12" spans="1:8" x14ac:dyDescent="0.3">
      <c r="A12" s="2">
        <f>IF('Dataset 1'!Z12="Male",1,0)</f>
        <v>0</v>
      </c>
      <c r="B12" s="2">
        <f>IF('Dataset 1'!AA12="Less than 1 year",0.5, IF('Dataset 1'!AA12="1-3 years",2, IF('Dataset 1'!AA12="3-5 years",4, IF('Dataset 1'!AA12="More than 5 years",6,""))))</f>
        <v>4</v>
      </c>
      <c r="C12" s="2">
        <f>IF('Dataset 1'!AB12="10%-20%",15, IF('Dataset 1'!AB12="20%-30%",25, IF('Dataset 1'!AB12="30%-40%",35, IF('Dataset 1'!AB12="40%-50%",45, IF('Dataset 1'!AB12="Less than 10%",5,"")))))</f>
        <v>25</v>
      </c>
    </row>
    <row r="13" spans="1:8" x14ac:dyDescent="0.3">
      <c r="A13" s="2">
        <f>IF('Dataset 1'!Z13="Male",1,0)</f>
        <v>1</v>
      </c>
      <c r="B13" s="2">
        <f>IF('Dataset 1'!AA13="Less than 1 year",0.5, IF('Dataset 1'!AA13="1-3 years",2, IF('Dataset 1'!AA13="3-5 years",4, IF('Dataset 1'!AA13="More than 5 years",6,""))))</f>
        <v>2</v>
      </c>
      <c r="C13" s="2">
        <f>IF('Dataset 1'!AB13="10%-20%",15, IF('Dataset 1'!AB13="20%-30%",25, IF('Dataset 1'!AB13="30%-40%",35, IF('Dataset 1'!AB13="40%-50%",45, IF('Dataset 1'!AB13="Less than 10%",5,"")))))</f>
        <v>25</v>
      </c>
    </row>
    <row r="14" spans="1:8" x14ac:dyDescent="0.3">
      <c r="A14" s="2">
        <f>IF('Dataset 1'!Z14="Male",1,0)</f>
        <v>0</v>
      </c>
      <c r="B14" s="2">
        <f>IF('Dataset 1'!AA14="Less than 1 year",0.5, IF('Dataset 1'!AA14="1-3 years",2, IF('Dataset 1'!AA14="3-5 years",4, IF('Dataset 1'!AA14="More than 5 years",6,""))))</f>
        <v>2</v>
      </c>
      <c r="C14" s="2">
        <f>IF('Dataset 1'!AB14="10%-20%",15, IF('Dataset 1'!AB14="20%-30%",25, IF('Dataset 1'!AB14="30%-40%",35, IF('Dataset 1'!AB14="40%-50%",45, IF('Dataset 1'!AB14="Less than 10%",5,"")))))</f>
        <v>25</v>
      </c>
    </row>
    <row r="15" spans="1:8" x14ac:dyDescent="0.3">
      <c r="A15" s="2">
        <f>IF('Dataset 1'!Z15="Male",1,0)</f>
        <v>0</v>
      </c>
      <c r="B15" s="2">
        <f>IF('Dataset 1'!AA15="Less than 1 year",0.5, IF('Dataset 1'!AA15="1-3 years",2, IF('Dataset 1'!AA15="3-5 years",4, IF('Dataset 1'!AA15="More than 5 years",6,""))))</f>
        <v>2</v>
      </c>
      <c r="C15" s="2">
        <f>IF('Dataset 1'!AB15="10%-20%",15, IF('Dataset 1'!AB15="20%-30%",25, IF('Dataset 1'!AB15="30%-40%",35, IF('Dataset 1'!AB15="40%-50%",45, IF('Dataset 1'!AB15="Less than 10%",5,"")))))</f>
        <v>25</v>
      </c>
    </row>
    <row r="16" spans="1:8" x14ac:dyDescent="0.3">
      <c r="A16" s="2">
        <f>IF('Dataset 1'!Z16="Male",1,0)</f>
        <v>0</v>
      </c>
      <c r="B16" s="2">
        <f>IF('Dataset 1'!AA16="Less than 1 year",0.5, IF('Dataset 1'!AA16="1-3 years",2, IF('Dataset 1'!AA16="3-5 years",4, IF('Dataset 1'!AA16="More than 5 years",6,""))))</f>
        <v>2</v>
      </c>
      <c r="C16" s="2">
        <f>IF('Dataset 1'!AB16="10%-20%",15, IF('Dataset 1'!AB16="20%-30%",25, IF('Dataset 1'!AB16="30%-40%",35, IF('Dataset 1'!AB16="40%-50%",45, IF('Dataset 1'!AB16="Less than 10%",5,"")))))</f>
        <v>25</v>
      </c>
    </row>
    <row r="17" spans="1:3" x14ac:dyDescent="0.3">
      <c r="A17" s="2">
        <f>IF('Dataset 1'!Z17="Male",1,0)</f>
        <v>1</v>
      </c>
      <c r="B17" s="2">
        <f>IF('Dataset 1'!AA17="Less than 1 year",0.5, IF('Dataset 1'!AA17="1-3 years",2, IF('Dataset 1'!AA17="3-5 years",4, IF('Dataset 1'!AA17="More than 5 years",6,""))))</f>
        <v>2</v>
      </c>
      <c r="C17" s="2">
        <f>IF('Dataset 1'!AB17="10%-20%",15, IF('Dataset 1'!AB17="20%-30%",25, IF('Dataset 1'!AB17="30%-40%",35, IF('Dataset 1'!AB17="40%-50%",45, IF('Dataset 1'!AB17="Less than 10%",5,"")))))</f>
        <v>25</v>
      </c>
    </row>
    <row r="18" spans="1:3" x14ac:dyDescent="0.3">
      <c r="A18" s="2">
        <f>IF('Dataset 1'!Z18="Male",1,0)</f>
        <v>0</v>
      </c>
      <c r="B18" s="2">
        <f>IF('Dataset 1'!AA18="Less than 1 year",0.5, IF('Dataset 1'!AA18="1-3 years",2, IF('Dataset 1'!AA18="3-5 years",4, IF('Dataset 1'!AA18="More than 5 years",6,""))))</f>
        <v>2</v>
      </c>
      <c r="C18" s="2">
        <f>IF('Dataset 1'!AB18="10%-20%",15, IF('Dataset 1'!AB18="20%-30%",25, IF('Dataset 1'!AB18="30%-40%",35, IF('Dataset 1'!AB18="40%-50%",45, IF('Dataset 1'!AB18="Less than 10%",5,"")))))</f>
        <v>25</v>
      </c>
    </row>
    <row r="19" spans="1:3" x14ac:dyDescent="0.3">
      <c r="A19" s="2">
        <f>IF('Dataset 1'!Z19="Male",1,0)</f>
        <v>1</v>
      </c>
      <c r="B19" s="2">
        <f>IF('Dataset 1'!AA19="Less than 1 year",0.5, IF('Dataset 1'!AA19="1-3 years",2, IF('Dataset 1'!AA19="3-5 years",4, IF('Dataset 1'!AA19="More than 5 years",6,""))))</f>
        <v>2</v>
      </c>
      <c r="C19" s="2">
        <f>IF('Dataset 1'!AB19="10%-20%",15, IF('Dataset 1'!AB19="20%-30%",25, IF('Dataset 1'!AB19="30%-40%",35, IF('Dataset 1'!AB19="40%-50%",45, IF('Dataset 1'!AB19="Less than 10%",5,"")))))</f>
        <v>25</v>
      </c>
    </row>
    <row r="20" spans="1:3" x14ac:dyDescent="0.3">
      <c r="A20" s="2">
        <f>IF('Dataset 1'!Z20="Male",1,0)</f>
        <v>1</v>
      </c>
      <c r="B20" s="2">
        <f>IF('Dataset 1'!AA20="Less than 1 year",0.5, IF('Dataset 1'!AA20="1-3 years",2, IF('Dataset 1'!AA20="3-5 years",4, IF('Dataset 1'!AA20="More than 5 years",6,""))))</f>
        <v>2</v>
      </c>
      <c r="C20" s="2">
        <f>IF('Dataset 1'!AB20="10%-20%",15, IF('Dataset 1'!AB20="20%-30%",25, IF('Dataset 1'!AB20="30%-40%",35, IF('Dataset 1'!AB20="40%-50%",45, IF('Dataset 1'!AB20="Less than 10%",5,"")))))</f>
        <v>25</v>
      </c>
    </row>
    <row r="21" spans="1:3" x14ac:dyDescent="0.3">
      <c r="A21" s="2">
        <f>IF('Dataset 1'!Z21="Male",1,0)</f>
        <v>1</v>
      </c>
      <c r="B21" s="2">
        <f>IF('Dataset 1'!AA21="Less than 1 year",0.5, IF('Dataset 1'!AA21="1-3 years",2, IF('Dataset 1'!AA21="3-5 years",4, IF('Dataset 1'!AA21="More than 5 years",6,""))))</f>
        <v>4</v>
      </c>
      <c r="C21" s="2">
        <f>IF('Dataset 1'!AB21="10%-20%",15, IF('Dataset 1'!AB21="20%-30%",25, IF('Dataset 1'!AB21="30%-40%",35, IF('Dataset 1'!AB21="40%-50%",45, IF('Dataset 1'!AB21="Less than 10%",5,"")))))</f>
        <v>25</v>
      </c>
    </row>
    <row r="22" spans="1:3" x14ac:dyDescent="0.3">
      <c r="A22" s="2">
        <f>IF('Dataset 1'!Z22="Male",1,0)</f>
        <v>1</v>
      </c>
      <c r="B22" s="2">
        <f>IF('Dataset 1'!AA22="Less than 1 year",0.5, IF('Dataset 1'!AA22="1-3 years",2, IF('Dataset 1'!AA22="3-5 years",4, IF('Dataset 1'!AA22="More than 5 years",6,""))))</f>
        <v>4</v>
      </c>
      <c r="C22" s="2">
        <f>IF('Dataset 1'!AB22="10%-20%",15, IF('Dataset 1'!AB22="20%-30%",25, IF('Dataset 1'!AB22="30%-40%",35, IF('Dataset 1'!AB22="40%-50%",45, IF('Dataset 1'!AB22="Less than 10%",5,"")))))</f>
        <v>25</v>
      </c>
    </row>
    <row r="23" spans="1:3" x14ac:dyDescent="0.3">
      <c r="A23" s="2">
        <f>IF('Dataset 1'!Z23="Male",1,0)</f>
        <v>0</v>
      </c>
      <c r="B23" s="2">
        <f>IF('Dataset 1'!AA23="Less than 1 year",0.5, IF('Dataset 1'!AA23="1-3 years",2, IF('Dataset 1'!AA23="3-5 years",4, IF('Dataset 1'!AA23="More than 5 years",6,""))))</f>
        <v>4</v>
      </c>
      <c r="C23" s="2">
        <f>IF('Dataset 1'!AB23="10%-20%",15, IF('Dataset 1'!AB23="20%-30%",25, IF('Dataset 1'!AB23="30%-40%",35, IF('Dataset 1'!AB23="40%-50%",45, IF('Dataset 1'!AB23="Less than 10%",5,"")))))</f>
        <v>25</v>
      </c>
    </row>
    <row r="24" spans="1:3" x14ac:dyDescent="0.3">
      <c r="A24" s="2">
        <f>IF('Dataset 1'!Z24="Male",1,0)</f>
        <v>1</v>
      </c>
      <c r="B24" s="2">
        <f>IF('Dataset 1'!AA24="Less than 1 year",0.5, IF('Dataset 1'!AA24="1-3 years",2, IF('Dataset 1'!AA24="3-5 years",4, IF('Dataset 1'!AA24="More than 5 years",6,""))))</f>
        <v>4</v>
      </c>
      <c r="C24" s="2">
        <f>IF('Dataset 1'!AB24="10%-20%",15, IF('Dataset 1'!AB24="20%-30%",25, IF('Dataset 1'!AB24="30%-40%",35, IF('Dataset 1'!AB24="40%-50%",45, IF('Dataset 1'!AB24="Less than 10%",5,"")))))</f>
        <v>25</v>
      </c>
    </row>
    <row r="25" spans="1:3" x14ac:dyDescent="0.3">
      <c r="A25" s="2">
        <f>IF('Dataset 1'!Z25="Male",1,0)</f>
        <v>1</v>
      </c>
      <c r="B25" s="2">
        <f>IF('Dataset 1'!AA25="Less than 1 year",0.5, IF('Dataset 1'!AA25="1-3 years",2, IF('Dataset 1'!AA25="3-5 years",4, IF('Dataset 1'!AA25="More than 5 years",6,""))))</f>
        <v>4</v>
      </c>
      <c r="C25" s="2">
        <f>IF('Dataset 1'!AB25="10%-20%",15, IF('Dataset 1'!AB25="20%-30%",25, IF('Dataset 1'!AB25="30%-40%",35, IF('Dataset 1'!AB25="40%-50%",45, IF('Dataset 1'!AB25="Less than 10%",5,"")))))</f>
        <v>25</v>
      </c>
    </row>
    <row r="26" spans="1:3" x14ac:dyDescent="0.3">
      <c r="A26" s="2">
        <f>IF('Dataset 1'!Z26="Male",1,0)</f>
        <v>0</v>
      </c>
      <c r="B26" s="2">
        <f>IF('Dataset 1'!AA26="Less than 1 year",0.5, IF('Dataset 1'!AA26="1-3 years",2, IF('Dataset 1'!AA26="3-5 years",4, IF('Dataset 1'!AA26="More than 5 years",6,""))))</f>
        <v>4</v>
      </c>
      <c r="C26" s="2">
        <f>IF('Dataset 1'!AB26="10%-20%",15, IF('Dataset 1'!AB26="20%-30%",25, IF('Dataset 1'!AB26="30%-40%",35, IF('Dataset 1'!AB26="40%-50%",45, IF('Dataset 1'!AB26="Less than 10%",5,"")))))</f>
        <v>35</v>
      </c>
    </row>
    <row r="27" spans="1:3" x14ac:dyDescent="0.3">
      <c r="A27" s="2">
        <f>IF('Dataset 1'!Z27="Male",1,0)</f>
        <v>0</v>
      </c>
      <c r="B27" s="2">
        <f>IF('Dataset 1'!AA27="Less than 1 year",0.5, IF('Dataset 1'!AA27="1-3 years",2, IF('Dataset 1'!AA27="3-5 years",4, IF('Dataset 1'!AA27="More than 5 years",6,""))))</f>
        <v>4</v>
      </c>
      <c r="C27" s="2">
        <f>IF('Dataset 1'!AB27="10%-20%",15, IF('Dataset 1'!AB27="20%-30%",25, IF('Dataset 1'!AB27="30%-40%",35, IF('Dataset 1'!AB27="40%-50%",45, IF('Dataset 1'!AB27="Less than 10%",5,"")))))</f>
        <v>25</v>
      </c>
    </row>
    <row r="28" spans="1:3" x14ac:dyDescent="0.3">
      <c r="A28" s="2">
        <f>IF('Dataset 1'!Z28="Male",1,0)</f>
        <v>1</v>
      </c>
      <c r="B28" s="2">
        <f>IF('Dataset 1'!AA28="Less than 1 year",0.5, IF('Dataset 1'!AA28="1-3 years",2, IF('Dataset 1'!AA28="3-5 years",4, IF('Dataset 1'!AA28="More than 5 years",6,""))))</f>
        <v>4</v>
      </c>
      <c r="C28" s="2">
        <f>IF('Dataset 1'!AB28="10%-20%",15, IF('Dataset 1'!AB28="20%-30%",25, IF('Dataset 1'!AB28="30%-40%",35, IF('Dataset 1'!AB28="40%-50%",45, IF('Dataset 1'!AB28="Less than 10%",5,"")))))</f>
        <v>25</v>
      </c>
    </row>
    <row r="29" spans="1:3" x14ac:dyDescent="0.3">
      <c r="A29" s="2">
        <f>IF('Dataset 1'!Z29="Male",1,0)</f>
        <v>1</v>
      </c>
      <c r="B29" s="2">
        <f>IF('Dataset 1'!AA29="Less than 1 year",0.5, IF('Dataset 1'!AA29="1-3 years",2, IF('Dataset 1'!AA29="3-5 years",4, IF('Dataset 1'!AA29="More than 5 years",6,""))))</f>
        <v>2</v>
      </c>
      <c r="C29" s="2">
        <f>IF('Dataset 1'!AB29="10%-20%",15, IF('Dataset 1'!AB29="20%-30%",25, IF('Dataset 1'!AB29="30%-40%",35, IF('Dataset 1'!AB29="40%-50%",45, IF('Dataset 1'!AB29="Less than 10%",5,"")))))</f>
        <v>25</v>
      </c>
    </row>
    <row r="30" spans="1:3" x14ac:dyDescent="0.3">
      <c r="A30" s="2">
        <f>IF('Dataset 1'!Z30="Male",1,0)</f>
        <v>1</v>
      </c>
      <c r="B30" s="2">
        <f>IF('Dataset 1'!AA30="Less than 1 year",0.5, IF('Dataset 1'!AA30="1-3 years",2, IF('Dataset 1'!AA30="3-5 years",4, IF('Dataset 1'!AA30="More than 5 years",6,""))))</f>
        <v>2</v>
      </c>
      <c r="C30" s="2">
        <f>IF('Dataset 1'!AB30="10%-20%",15, IF('Dataset 1'!AB30="20%-30%",25, IF('Dataset 1'!AB30="30%-40%",35, IF('Dataset 1'!AB30="40%-50%",45, IF('Dataset 1'!AB30="Less than 10%",5,"")))))</f>
        <v>25</v>
      </c>
    </row>
    <row r="31" spans="1:3" x14ac:dyDescent="0.3">
      <c r="A31" s="2">
        <f>IF('Dataset 1'!Z31="Male",1,0)</f>
        <v>0</v>
      </c>
      <c r="B31" s="2">
        <f>IF('Dataset 1'!AA31="Less than 1 year",0.5, IF('Dataset 1'!AA31="1-3 years",2, IF('Dataset 1'!AA31="3-5 years",4, IF('Dataset 1'!AA31="More than 5 years",6,""))))</f>
        <v>4</v>
      </c>
      <c r="C31" s="2">
        <f>IF('Dataset 1'!AB31="10%-20%",15, IF('Dataset 1'!AB31="20%-30%",25, IF('Dataset 1'!AB31="30%-40%",35, IF('Dataset 1'!AB31="40%-50%",45, IF('Dataset 1'!AB31="Less than 10%",5,"")))))</f>
        <v>15</v>
      </c>
    </row>
    <row r="32" spans="1:3" x14ac:dyDescent="0.3">
      <c r="A32" s="2">
        <f>IF('Dataset 1'!Z32="Male",1,0)</f>
        <v>1</v>
      </c>
      <c r="B32" s="2">
        <f>IF('Dataset 1'!AA32="Less than 1 year",0.5, IF('Dataset 1'!AA32="1-3 years",2, IF('Dataset 1'!AA32="3-5 years",4, IF('Dataset 1'!AA32="More than 5 years",6,""))))</f>
        <v>2</v>
      </c>
      <c r="C32" s="2">
        <f>IF('Dataset 1'!AB32="10%-20%",15, IF('Dataset 1'!AB32="20%-30%",25, IF('Dataset 1'!AB32="30%-40%",35, IF('Dataset 1'!AB32="40%-50%",45, IF('Dataset 1'!AB32="Less than 10%",5,"")))))</f>
        <v>15</v>
      </c>
    </row>
    <row r="33" spans="1:3" x14ac:dyDescent="0.3">
      <c r="A33" s="2">
        <f>IF('Dataset 1'!Z33="Male",1,0)</f>
        <v>0</v>
      </c>
      <c r="B33" s="2">
        <f>IF('Dataset 1'!AA33="Less than 1 year",0.5, IF('Dataset 1'!AA33="1-3 years",2, IF('Dataset 1'!AA33="3-5 years",4, IF('Dataset 1'!AA33="More than 5 years",6,""))))</f>
        <v>4</v>
      </c>
      <c r="C33" s="2">
        <f>IF('Dataset 1'!AB33="10%-20%",15, IF('Dataset 1'!AB33="20%-30%",25, IF('Dataset 1'!AB33="30%-40%",35, IF('Dataset 1'!AB33="40%-50%",45, IF('Dataset 1'!AB33="Less than 10%",5,"")))))</f>
        <v>25</v>
      </c>
    </row>
    <row r="34" spans="1:3" x14ac:dyDescent="0.3">
      <c r="A34" s="2">
        <f>IF('Dataset 1'!Z34="Male",1,0)</f>
        <v>1</v>
      </c>
      <c r="B34" s="2">
        <f>IF('Dataset 1'!AA34="Less than 1 year",0.5, IF('Dataset 1'!AA34="1-3 years",2, IF('Dataset 1'!AA34="3-5 years",4, IF('Dataset 1'!AA34="More than 5 years",6,""))))</f>
        <v>4</v>
      </c>
      <c r="C34" s="2">
        <f>IF('Dataset 1'!AB34="10%-20%",15, IF('Dataset 1'!AB34="20%-30%",25, IF('Dataset 1'!AB34="30%-40%",35, IF('Dataset 1'!AB34="40%-50%",45, IF('Dataset 1'!AB34="Less than 10%",5,"")))))</f>
        <v>35</v>
      </c>
    </row>
    <row r="35" spans="1:3" x14ac:dyDescent="0.3">
      <c r="A35" s="2">
        <f>IF('Dataset 1'!Z35="Male",1,0)</f>
        <v>1</v>
      </c>
      <c r="B35" s="2">
        <f>IF('Dataset 1'!AA35="Less than 1 year",0.5, IF('Dataset 1'!AA35="1-3 years",2, IF('Dataset 1'!AA35="3-5 years",4, IF('Dataset 1'!AA35="More than 5 years",6,""))))</f>
        <v>2</v>
      </c>
      <c r="C35" s="2">
        <f>IF('Dataset 1'!AB35="10%-20%",15, IF('Dataset 1'!AB35="20%-30%",25, IF('Dataset 1'!AB35="30%-40%",35, IF('Dataset 1'!AB35="40%-50%",45, IF('Dataset 1'!AB35="Less than 10%",5,"")))))</f>
        <v>25</v>
      </c>
    </row>
    <row r="36" spans="1:3" x14ac:dyDescent="0.3">
      <c r="A36" s="2">
        <f>IF('Dataset 1'!Z36="Male",1,0)</f>
        <v>1</v>
      </c>
      <c r="B36" s="2">
        <f>IF('Dataset 1'!AA36="Less than 1 year",0.5, IF('Dataset 1'!AA36="1-3 years",2, IF('Dataset 1'!AA36="3-5 years",4, IF('Dataset 1'!AA36="More than 5 years",6,""))))</f>
        <v>2</v>
      </c>
      <c r="C36" s="2">
        <f>IF('Dataset 1'!AB36="10%-20%",15, IF('Dataset 1'!AB36="20%-30%",25, IF('Dataset 1'!AB36="30%-40%",35, IF('Dataset 1'!AB36="40%-50%",45, IF('Dataset 1'!AB36="Less than 10%",5,"")))))</f>
        <v>25</v>
      </c>
    </row>
    <row r="37" spans="1:3" x14ac:dyDescent="0.3">
      <c r="A37" s="2">
        <f>IF('Dataset 1'!Z37="Male",1,0)</f>
        <v>1</v>
      </c>
      <c r="B37" s="2">
        <f>IF('Dataset 1'!AA37="Less than 1 year",0.5, IF('Dataset 1'!AA37="1-3 years",2, IF('Dataset 1'!AA37="3-5 years",4, IF('Dataset 1'!AA37="More than 5 years",6,""))))</f>
        <v>4</v>
      </c>
      <c r="C37" s="2">
        <f>IF('Dataset 1'!AB37="10%-20%",15, IF('Dataset 1'!AB37="20%-30%",25, IF('Dataset 1'!AB37="30%-40%",35, IF('Dataset 1'!AB37="40%-50%",45, IF('Dataset 1'!AB37="Less than 10%",5,"")))))</f>
        <v>25</v>
      </c>
    </row>
    <row r="38" spans="1:3" x14ac:dyDescent="0.3">
      <c r="A38" s="2">
        <f>IF('Dataset 1'!Z38="Male",1,0)</f>
        <v>1</v>
      </c>
      <c r="B38" s="2">
        <f>IF('Dataset 1'!AA38="Less than 1 year",0.5, IF('Dataset 1'!AA38="1-3 years",2, IF('Dataset 1'!AA38="3-5 years",4, IF('Dataset 1'!AA38="More than 5 years",6,""))))</f>
        <v>2</v>
      </c>
      <c r="C38" s="2">
        <f>IF('Dataset 1'!AB38="10%-20%",15, IF('Dataset 1'!AB38="20%-30%",25, IF('Dataset 1'!AB38="30%-40%",35, IF('Dataset 1'!AB38="40%-50%",45, IF('Dataset 1'!AB38="Less than 10%",5,"")))))</f>
        <v>25</v>
      </c>
    </row>
    <row r="39" spans="1:3" x14ac:dyDescent="0.3">
      <c r="A39" s="2">
        <f>IF('Dataset 1'!Z39="Male",1,0)</f>
        <v>1</v>
      </c>
      <c r="B39" s="2">
        <f>IF('Dataset 1'!AA39="Less than 1 year",0.5, IF('Dataset 1'!AA39="1-3 years",2, IF('Dataset 1'!AA39="3-5 years",4, IF('Dataset 1'!AA39="More than 5 years",6,""))))</f>
        <v>4</v>
      </c>
      <c r="C39" s="2">
        <f>IF('Dataset 1'!AB39="10%-20%",15, IF('Dataset 1'!AB39="20%-30%",25, IF('Dataset 1'!AB39="30%-40%",35, IF('Dataset 1'!AB39="40%-50%",45, IF('Dataset 1'!AB39="Less than 10%",5,"")))))</f>
        <v>35</v>
      </c>
    </row>
    <row r="40" spans="1:3" x14ac:dyDescent="0.3">
      <c r="A40" s="2">
        <f>IF('Dataset 1'!Z40="Male",1,0)</f>
        <v>1</v>
      </c>
      <c r="B40" s="2">
        <f>IF('Dataset 1'!AA40="Less than 1 year",0.5, IF('Dataset 1'!AA40="1-3 years",2, IF('Dataset 1'!AA40="3-5 years",4, IF('Dataset 1'!AA40="More than 5 years",6,""))))</f>
        <v>2</v>
      </c>
      <c r="C40" s="2">
        <f>IF('Dataset 1'!AB40="10%-20%",15, IF('Dataset 1'!AB40="20%-30%",25, IF('Dataset 1'!AB40="30%-40%",35, IF('Dataset 1'!AB40="40%-50%",45, IF('Dataset 1'!AB40="Less than 10%",5,"")))))</f>
        <v>25</v>
      </c>
    </row>
    <row r="41" spans="1:3" x14ac:dyDescent="0.3">
      <c r="A41" s="2">
        <f>IF('Dataset 1'!Z41="Male",1,0)</f>
        <v>1</v>
      </c>
      <c r="B41" s="2">
        <f>IF('Dataset 1'!AA41="Less than 1 year",0.5, IF('Dataset 1'!AA41="1-3 years",2, IF('Dataset 1'!AA41="3-5 years",4, IF('Dataset 1'!AA41="More than 5 years",6,""))))</f>
        <v>4</v>
      </c>
      <c r="C41" s="2">
        <f>IF('Dataset 1'!AB41="10%-20%",15, IF('Dataset 1'!AB41="20%-30%",25, IF('Dataset 1'!AB41="30%-40%",35, IF('Dataset 1'!AB41="40%-50%",45, IF('Dataset 1'!AB41="Less than 10%",5,"")))))</f>
        <v>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46588-169C-411C-97C1-8AC7EBD54A97}">
  <dimension ref="A1:C41"/>
  <sheetViews>
    <sheetView workbookViewId="0">
      <selection activeCell="F25" sqref="F25"/>
    </sheetView>
  </sheetViews>
  <sheetFormatPr defaultRowHeight="14.4" x14ac:dyDescent="0.3"/>
  <sheetData>
    <row r="1" spans="1:3" x14ac:dyDescent="0.3">
      <c r="A1" s="1" t="s">
        <v>68</v>
      </c>
      <c r="B1" s="1" t="s">
        <v>14</v>
      </c>
      <c r="C1" s="1" t="s">
        <v>16</v>
      </c>
    </row>
    <row r="2" spans="1:3" x14ac:dyDescent="0.3">
      <c r="A2" s="2">
        <v>0</v>
      </c>
      <c r="B2" s="2">
        <v>2</v>
      </c>
      <c r="C2" s="2">
        <v>25</v>
      </c>
    </row>
    <row r="3" spans="1:3" x14ac:dyDescent="0.3">
      <c r="A3" s="2">
        <v>0</v>
      </c>
      <c r="B3" s="2">
        <v>6</v>
      </c>
      <c r="C3" s="2">
        <v>25</v>
      </c>
    </row>
    <row r="4" spans="1:3" x14ac:dyDescent="0.3">
      <c r="A4" s="2">
        <v>1</v>
      </c>
      <c r="B4" s="2">
        <v>4</v>
      </c>
      <c r="C4" s="2">
        <v>25</v>
      </c>
    </row>
    <row r="5" spans="1:3" x14ac:dyDescent="0.3">
      <c r="A5" s="2">
        <v>1</v>
      </c>
      <c r="B5" s="2">
        <v>0.5</v>
      </c>
      <c r="C5" s="2">
        <v>15</v>
      </c>
    </row>
    <row r="6" spans="1:3" x14ac:dyDescent="0.3">
      <c r="A6" s="2">
        <v>0</v>
      </c>
      <c r="B6" s="2">
        <v>0.5</v>
      </c>
      <c r="C6" s="2">
        <v>25</v>
      </c>
    </row>
    <row r="7" spans="1:3" x14ac:dyDescent="0.3">
      <c r="A7" s="2">
        <v>0</v>
      </c>
      <c r="B7" s="2">
        <v>2</v>
      </c>
      <c r="C7" s="2">
        <v>35</v>
      </c>
    </row>
    <row r="8" spans="1:3" x14ac:dyDescent="0.3">
      <c r="A8" s="2">
        <v>0</v>
      </c>
      <c r="B8" s="2">
        <v>4</v>
      </c>
      <c r="C8" s="2">
        <v>25</v>
      </c>
    </row>
    <row r="9" spans="1:3" x14ac:dyDescent="0.3">
      <c r="A9" s="2">
        <v>1</v>
      </c>
      <c r="B9" s="2">
        <v>4</v>
      </c>
      <c r="C9" s="2">
        <v>25</v>
      </c>
    </row>
    <row r="10" spans="1:3" x14ac:dyDescent="0.3">
      <c r="A10" s="2">
        <v>1</v>
      </c>
      <c r="B10" s="2">
        <v>2</v>
      </c>
      <c r="C10" s="2">
        <v>25</v>
      </c>
    </row>
    <row r="11" spans="1:3" x14ac:dyDescent="0.3">
      <c r="A11" s="2">
        <v>1</v>
      </c>
      <c r="B11" s="2">
        <v>4</v>
      </c>
      <c r="C11" s="2">
        <v>35</v>
      </c>
    </row>
    <row r="12" spans="1:3" x14ac:dyDescent="0.3">
      <c r="A12" s="2">
        <v>0</v>
      </c>
      <c r="B12" s="2">
        <v>4</v>
      </c>
      <c r="C12" s="2">
        <v>25</v>
      </c>
    </row>
    <row r="13" spans="1:3" x14ac:dyDescent="0.3">
      <c r="A13" s="2">
        <v>1</v>
      </c>
      <c r="B13" s="2">
        <v>2</v>
      </c>
      <c r="C13" s="2">
        <v>25</v>
      </c>
    </row>
    <row r="14" spans="1:3" x14ac:dyDescent="0.3">
      <c r="A14" s="2">
        <v>0</v>
      </c>
      <c r="B14" s="2">
        <v>2</v>
      </c>
      <c r="C14" s="2">
        <v>25</v>
      </c>
    </row>
    <row r="15" spans="1:3" x14ac:dyDescent="0.3">
      <c r="A15" s="2">
        <v>0</v>
      </c>
      <c r="B15" s="2">
        <v>2</v>
      </c>
      <c r="C15" s="2">
        <v>25</v>
      </c>
    </row>
    <row r="16" spans="1:3" x14ac:dyDescent="0.3">
      <c r="A16" s="2">
        <v>0</v>
      </c>
      <c r="B16" s="2">
        <v>2</v>
      </c>
      <c r="C16" s="2">
        <v>25</v>
      </c>
    </row>
    <row r="17" spans="1:3" x14ac:dyDescent="0.3">
      <c r="A17" s="2">
        <v>1</v>
      </c>
      <c r="B17" s="2">
        <v>2</v>
      </c>
      <c r="C17" s="2">
        <v>25</v>
      </c>
    </row>
    <row r="18" spans="1:3" x14ac:dyDescent="0.3">
      <c r="A18" s="2">
        <v>0</v>
      </c>
      <c r="B18" s="2">
        <v>2</v>
      </c>
      <c r="C18" s="2">
        <v>25</v>
      </c>
    </row>
    <row r="19" spans="1:3" x14ac:dyDescent="0.3">
      <c r="A19" s="2">
        <v>1</v>
      </c>
      <c r="B19" s="2">
        <v>2</v>
      </c>
      <c r="C19" s="2">
        <v>25</v>
      </c>
    </row>
    <row r="20" spans="1:3" x14ac:dyDescent="0.3">
      <c r="A20" s="2">
        <v>1</v>
      </c>
      <c r="B20" s="2">
        <v>2</v>
      </c>
      <c r="C20" s="2">
        <v>25</v>
      </c>
    </row>
    <row r="21" spans="1:3" x14ac:dyDescent="0.3">
      <c r="A21" s="2">
        <v>1</v>
      </c>
      <c r="B21" s="2">
        <v>4</v>
      </c>
      <c r="C21" s="2">
        <v>25</v>
      </c>
    </row>
    <row r="22" spans="1:3" x14ac:dyDescent="0.3">
      <c r="A22" s="2">
        <v>1</v>
      </c>
      <c r="B22" s="2">
        <v>4</v>
      </c>
      <c r="C22" s="2">
        <v>25</v>
      </c>
    </row>
    <row r="23" spans="1:3" x14ac:dyDescent="0.3">
      <c r="A23" s="2">
        <v>0</v>
      </c>
      <c r="B23" s="2">
        <v>4</v>
      </c>
      <c r="C23" s="2">
        <v>25</v>
      </c>
    </row>
    <row r="24" spans="1:3" x14ac:dyDescent="0.3">
      <c r="A24" s="2">
        <v>1</v>
      </c>
      <c r="B24" s="2">
        <v>4</v>
      </c>
      <c r="C24" s="2">
        <v>25</v>
      </c>
    </row>
    <row r="25" spans="1:3" x14ac:dyDescent="0.3">
      <c r="A25" s="2">
        <v>1</v>
      </c>
      <c r="B25" s="2">
        <v>4</v>
      </c>
      <c r="C25" s="2">
        <v>25</v>
      </c>
    </row>
    <row r="26" spans="1:3" x14ac:dyDescent="0.3">
      <c r="A26" s="2">
        <v>0</v>
      </c>
      <c r="B26" s="2">
        <v>4</v>
      </c>
      <c r="C26" s="2">
        <v>35</v>
      </c>
    </row>
    <row r="27" spans="1:3" x14ac:dyDescent="0.3">
      <c r="A27" s="2">
        <v>0</v>
      </c>
      <c r="B27" s="2">
        <v>4</v>
      </c>
      <c r="C27" s="2">
        <v>25</v>
      </c>
    </row>
    <row r="28" spans="1:3" x14ac:dyDescent="0.3">
      <c r="A28" s="2">
        <v>1</v>
      </c>
      <c r="B28" s="2">
        <v>4</v>
      </c>
      <c r="C28" s="2">
        <v>25</v>
      </c>
    </row>
    <row r="29" spans="1:3" x14ac:dyDescent="0.3">
      <c r="A29" s="2">
        <v>1</v>
      </c>
      <c r="B29" s="2">
        <v>2</v>
      </c>
      <c r="C29" s="2">
        <v>25</v>
      </c>
    </row>
    <row r="30" spans="1:3" x14ac:dyDescent="0.3">
      <c r="A30" s="2">
        <v>1</v>
      </c>
      <c r="B30" s="2">
        <v>2</v>
      </c>
      <c r="C30" s="2">
        <v>25</v>
      </c>
    </row>
    <row r="31" spans="1:3" x14ac:dyDescent="0.3">
      <c r="A31" s="2">
        <v>0</v>
      </c>
      <c r="B31" s="2">
        <v>4</v>
      </c>
      <c r="C31" s="2">
        <v>15</v>
      </c>
    </row>
    <row r="32" spans="1:3" x14ac:dyDescent="0.3">
      <c r="A32" s="2">
        <v>1</v>
      </c>
      <c r="B32" s="2">
        <v>2</v>
      </c>
      <c r="C32" s="2">
        <v>15</v>
      </c>
    </row>
    <row r="33" spans="1:3" x14ac:dyDescent="0.3">
      <c r="A33" s="2">
        <v>0</v>
      </c>
      <c r="B33" s="2">
        <v>4</v>
      </c>
      <c r="C33" s="2">
        <v>25</v>
      </c>
    </row>
    <row r="34" spans="1:3" x14ac:dyDescent="0.3">
      <c r="A34" s="2">
        <v>1</v>
      </c>
      <c r="B34" s="2">
        <v>4</v>
      </c>
      <c r="C34" s="2">
        <v>35</v>
      </c>
    </row>
    <row r="35" spans="1:3" x14ac:dyDescent="0.3">
      <c r="A35" s="2">
        <v>1</v>
      </c>
      <c r="B35" s="2">
        <v>2</v>
      </c>
      <c r="C35" s="2">
        <v>25</v>
      </c>
    </row>
    <row r="36" spans="1:3" x14ac:dyDescent="0.3">
      <c r="A36" s="2">
        <v>1</v>
      </c>
      <c r="B36" s="2">
        <v>2</v>
      </c>
      <c r="C36" s="2">
        <v>25</v>
      </c>
    </row>
    <row r="37" spans="1:3" x14ac:dyDescent="0.3">
      <c r="A37" s="2">
        <v>1</v>
      </c>
      <c r="B37" s="2">
        <v>4</v>
      </c>
      <c r="C37" s="2">
        <v>25</v>
      </c>
    </row>
    <row r="38" spans="1:3" x14ac:dyDescent="0.3">
      <c r="A38" s="2">
        <v>1</v>
      </c>
      <c r="B38" s="2">
        <v>2</v>
      </c>
      <c r="C38" s="2">
        <v>25</v>
      </c>
    </row>
    <row r="39" spans="1:3" x14ac:dyDescent="0.3">
      <c r="A39" s="2">
        <v>1</v>
      </c>
      <c r="B39" s="2">
        <v>4</v>
      </c>
      <c r="C39" s="2">
        <v>35</v>
      </c>
    </row>
    <row r="40" spans="1:3" x14ac:dyDescent="0.3">
      <c r="A40" s="2">
        <v>1</v>
      </c>
      <c r="B40" s="2">
        <v>2</v>
      </c>
      <c r="C40" s="2">
        <v>25</v>
      </c>
    </row>
    <row r="41" spans="1:3" x14ac:dyDescent="0.3">
      <c r="A41" s="2">
        <v>1</v>
      </c>
      <c r="B41" s="2">
        <v>4</v>
      </c>
      <c r="C41" s="2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 1</vt:lpstr>
      <vt:lpstr>Scatter Chart</vt:lpstr>
      <vt:lpstr>Bubble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VIVOBOOK 16X</dc:creator>
  <cp:lastModifiedBy>SAHIL RAWAT</cp:lastModifiedBy>
  <dcterms:created xsi:type="dcterms:W3CDTF">2025-10-05T10:01:29Z</dcterms:created>
  <dcterms:modified xsi:type="dcterms:W3CDTF">2025-10-05T14:41:23Z</dcterms:modified>
</cp:coreProperties>
</file>