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E:\Excel\Project\"/>
    </mc:Choice>
  </mc:AlternateContent>
  <xr:revisionPtr revIDLastSave="0" documentId="13_ncr:1_{7D42FB76-0550-4F2D-948E-5DDAEB89966D}" xr6:coauthVersionLast="47" xr6:coauthVersionMax="47" xr10:uidLastSave="{00000000-0000-0000-0000-000000000000}"/>
  <bookViews>
    <workbookView xWindow="-108" yWindow="-108" windowWidth="23256" windowHeight="13896" xr2:uid="{E1EB5F6B-E877-4A3A-9512-6046661E34B3}"/>
  </bookViews>
  <sheets>
    <sheet name="Dataset1" sheetId="1" r:id="rId1"/>
    <sheet name="Gender distribution" sheetId="2" r:id="rId2"/>
    <sheet name="Bar Chart" sheetId="4" r:id="rId3"/>
    <sheet name="Stacked Bar Chart1" sheetId="16" r:id="rId4"/>
    <sheet name="Doughnut Chart" sheetId="7" r:id="rId5"/>
    <sheet name="Horizonta Bar Chart" sheetId="8" r:id="rId6"/>
    <sheet name="Histogram Chart" sheetId="9" r:id="rId7"/>
    <sheet name="Radar Chart" sheetId="10" r:id="rId8"/>
    <sheet name="Scatter Chart" sheetId="12" r:id="rId9"/>
    <sheet name="Bubble Chart" sheetId="13" r:id="rId10"/>
    <sheet name="Dashboard" sheetId="15" r:id="rId11"/>
  </sheets>
  <externalReferences>
    <externalReference r:id="rId12"/>
  </externalReferences>
  <definedNames>
    <definedName name="Slicer_age">#N/A</definedName>
    <definedName name="Slicer_All_Reasons">#N/A</definedName>
    <definedName name="Slicer_Duration">#N/A</definedName>
    <definedName name="Slicer_gender">#N/A</definedName>
    <definedName name="Slicer_Investment_Avenues">#N/A</definedName>
    <definedName name="Slicer_Purpose">#N/A</definedName>
    <definedName name="Slicer_Sourc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3" l="1"/>
  <c r="B41" i="13"/>
  <c r="A41" i="13"/>
  <c r="C40" i="13"/>
  <c r="B40" i="13"/>
  <c r="A40" i="13"/>
  <c r="C39" i="13"/>
  <c r="B39" i="13"/>
  <c r="A39" i="13"/>
  <c r="C38" i="13"/>
  <c r="B38" i="13"/>
  <c r="A38" i="13"/>
  <c r="C37" i="13"/>
  <c r="B37" i="13"/>
  <c r="A37" i="13"/>
  <c r="C36" i="13"/>
  <c r="B36" i="13"/>
  <c r="A36" i="13"/>
  <c r="C35" i="13"/>
  <c r="B35" i="13"/>
  <c r="A35" i="13"/>
  <c r="C34" i="13"/>
  <c r="B34" i="13"/>
  <c r="A34" i="13"/>
  <c r="C33" i="13"/>
  <c r="B33" i="13"/>
  <c r="A33" i="13"/>
  <c r="C32" i="13"/>
  <c r="B32" i="13"/>
  <c r="A32" i="13"/>
  <c r="C31" i="13"/>
  <c r="B31" i="13"/>
  <c r="A31" i="13"/>
  <c r="C30" i="13"/>
  <c r="B30" i="13"/>
  <c r="A30" i="13"/>
  <c r="C29" i="13"/>
  <c r="B29" i="13"/>
  <c r="A29" i="13"/>
  <c r="C28" i="13"/>
  <c r="B28" i="13"/>
  <c r="A28" i="13"/>
  <c r="C27" i="13"/>
  <c r="B27" i="13"/>
  <c r="A27" i="13"/>
  <c r="C26" i="13"/>
  <c r="B26" i="13"/>
  <c r="A26" i="13"/>
  <c r="C25" i="13"/>
  <c r="B25" i="13"/>
  <c r="A25" i="13"/>
  <c r="C24" i="13"/>
  <c r="B24" i="13"/>
  <c r="A24" i="13"/>
  <c r="C23" i="13"/>
  <c r="B23" i="13"/>
  <c r="A23" i="13"/>
  <c r="C22" i="13"/>
  <c r="B22" i="13"/>
  <c r="A22" i="13"/>
  <c r="C21" i="13"/>
  <c r="B21" i="13"/>
  <c r="A21" i="13"/>
  <c r="C20" i="13"/>
  <c r="B20" i="13"/>
  <c r="A20" i="13"/>
  <c r="C19" i="13"/>
  <c r="B19" i="13"/>
  <c r="A19" i="13"/>
  <c r="C18" i="13"/>
  <c r="B18" i="13"/>
  <c r="A18" i="13"/>
  <c r="C17" i="13"/>
  <c r="B17" i="13"/>
  <c r="A17" i="13"/>
  <c r="C16" i="13"/>
  <c r="B16" i="13"/>
  <c r="A16" i="13"/>
  <c r="C15" i="13"/>
  <c r="B15" i="13"/>
  <c r="A15" i="13"/>
  <c r="C14" i="13"/>
  <c r="B14" i="13"/>
  <c r="A14" i="13"/>
  <c r="C13" i="13"/>
  <c r="B13" i="13"/>
  <c r="A13" i="13"/>
  <c r="C12" i="13"/>
  <c r="B12" i="13"/>
  <c r="A12" i="13"/>
  <c r="C11" i="13"/>
  <c r="B11" i="13"/>
  <c r="A11" i="13"/>
  <c r="C10" i="13"/>
  <c r="B10" i="13"/>
  <c r="A10" i="13"/>
  <c r="C9" i="13"/>
  <c r="B9" i="13"/>
  <c r="A9" i="13"/>
  <c r="C8" i="13"/>
  <c r="B8" i="13"/>
  <c r="A8" i="13"/>
  <c r="C7" i="13"/>
  <c r="B7" i="13"/>
  <c r="A7" i="13"/>
  <c r="C6" i="13"/>
  <c r="B6" i="13"/>
  <c r="A6" i="13"/>
  <c r="C5" i="13"/>
  <c r="B5" i="13"/>
  <c r="A5" i="13"/>
  <c r="C4" i="13"/>
  <c r="B4" i="13"/>
  <c r="A4" i="13"/>
  <c r="C3" i="13"/>
  <c r="B3" i="13"/>
  <c r="A3" i="13"/>
  <c r="C2" i="13"/>
  <c r="B2" i="13"/>
  <c r="A2" i="13"/>
  <c r="C41" i="12"/>
  <c r="B41" i="12"/>
  <c r="A41" i="12"/>
  <c r="C40" i="12"/>
  <c r="B40" i="12"/>
  <c r="A40" i="12"/>
  <c r="C39" i="12"/>
  <c r="B39" i="12"/>
  <c r="A39" i="12"/>
  <c r="C38" i="12"/>
  <c r="B38" i="12"/>
  <c r="A38" i="12"/>
  <c r="C37" i="12"/>
  <c r="B37" i="12"/>
  <c r="A37" i="12"/>
  <c r="C36" i="12"/>
  <c r="B36" i="12"/>
  <c r="A36" i="12"/>
  <c r="C35" i="12"/>
  <c r="B35" i="12"/>
  <c r="A35" i="12"/>
  <c r="C34" i="12"/>
  <c r="B34" i="12"/>
  <c r="A34" i="12"/>
  <c r="C33" i="12"/>
  <c r="B33" i="12"/>
  <c r="A33" i="12"/>
  <c r="C32" i="12"/>
  <c r="B32" i="12"/>
  <c r="A32" i="12"/>
  <c r="C31" i="12"/>
  <c r="B31" i="12"/>
  <c r="A31" i="12"/>
  <c r="C30" i="12"/>
  <c r="B30" i="12"/>
  <c r="A30" i="12"/>
  <c r="C29" i="12"/>
  <c r="B29" i="12"/>
  <c r="A29" i="12"/>
  <c r="C28" i="12"/>
  <c r="B28" i="12"/>
  <c r="A28" i="12"/>
  <c r="C27" i="12"/>
  <c r="B27" i="12"/>
  <c r="A27" i="12"/>
  <c r="C26" i="12"/>
  <c r="B26" i="12"/>
  <c r="A26" i="12"/>
  <c r="C25" i="12"/>
  <c r="B25" i="12"/>
  <c r="A25" i="12"/>
  <c r="C24" i="12"/>
  <c r="B24" i="12"/>
  <c r="A24" i="12"/>
  <c r="C23" i="12"/>
  <c r="B23" i="12"/>
  <c r="A23" i="12"/>
  <c r="C22" i="12"/>
  <c r="B22" i="12"/>
  <c r="A22" i="12"/>
  <c r="C21" i="12"/>
  <c r="B21" i="12"/>
  <c r="A21" i="12"/>
  <c r="C20" i="12"/>
  <c r="B20" i="12"/>
  <c r="A20" i="12"/>
  <c r="C19" i="12"/>
  <c r="B19" i="12"/>
  <c r="A19" i="12"/>
  <c r="C18" i="12"/>
  <c r="B18" i="12"/>
  <c r="A18" i="12"/>
  <c r="C17" i="12"/>
  <c r="B17" i="12"/>
  <c r="A17" i="12"/>
  <c r="C16" i="12"/>
  <c r="B16" i="12"/>
  <c r="A16" i="12"/>
  <c r="C15" i="12"/>
  <c r="B15" i="12"/>
  <c r="A15" i="12"/>
  <c r="C14" i="12"/>
  <c r="B14" i="12"/>
  <c r="A14" i="12"/>
  <c r="C13" i="12"/>
  <c r="B13" i="12"/>
  <c r="A13" i="12"/>
  <c r="C12" i="12"/>
  <c r="B12" i="12"/>
  <c r="A12" i="12"/>
  <c r="C11" i="12"/>
  <c r="B11" i="12"/>
  <c r="A11" i="12"/>
  <c r="C10" i="12"/>
  <c r="B10" i="12"/>
  <c r="A10" i="12"/>
  <c r="C9" i="12"/>
  <c r="B9" i="12"/>
  <c r="A9" i="12"/>
  <c r="C8" i="12"/>
  <c r="B8" i="12"/>
  <c r="A8" i="12"/>
  <c r="C7" i="12"/>
  <c r="B7" i="12"/>
  <c r="A7" i="12"/>
  <c r="C6" i="12"/>
  <c r="B6" i="12"/>
  <c r="A6" i="12"/>
  <c r="C5" i="12"/>
  <c r="B5" i="12"/>
  <c r="A5" i="12"/>
  <c r="C4" i="12"/>
  <c r="B4" i="12"/>
  <c r="A4" i="12"/>
  <c r="C3" i="12"/>
  <c r="B3" i="12"/>
  <c r="A3" i="12"/>
  <c r="C2" i="12"/>
  <c r="B2" i="12"/>
  <c r="A2" i="12"/>
</calcChain>
</file>

<file path=xl/sharedStrings.xml><?xml version="1.0" encoding="utf-8"?>
<sst xmlns="http://schemas.openxmlformats.org/spreadsheetml/2006/main" count="754" uniqueCount="84">
  <si>
    <t>Male  Count</t>
  </si>
  <si>
    <t>Female Count</t>
  </si>
  <si>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</si>
  <si>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</si>
  <si>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</si>
  <si>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</si>
  <si>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</si>
  <si>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</si>
  <si>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</si>
  <si>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</si>
  <si>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</si>
  <si>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</si>
  <si>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</si>
  <si>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</si>
  <si>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</si>
  <si>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</si>
  <si>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</si>
  <si>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</si>
  <si>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</si>
  <si>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</si>
  <si>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</si>
  <si>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</si>
  <si>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</si>
  <si>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</si>
  <si>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</si>
  <si>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</si>
  <si>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</si>
  <si>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</si>
  <si>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</si>
  <si>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</si>
  <si>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</si>
  <si>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</si>
  <si>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</si>
  <si>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</si>
  <si>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</si>
  <si>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</si>
  <si>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</si>
  <si>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</si>
  <si>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</si>
  <si>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</si>
  <si>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</si>
  <si>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</si>
  <si>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</si>
  <si>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</si>
  <si>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</si>
  <si>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</si>
  <si>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</si>
  <si>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</si>
  <si>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</si>
  <si>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</si>
  <si>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</si>
  <si>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</si>
  <si>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</si>
  <si>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</si>
  <si>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</si>
  <si>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</si>
  <si>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</si>
  <si>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</si>
  <si>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</si>
  <si>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</si>
  <si>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</si>
  <si>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</si>
  <si>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</si>
  <si>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</si>
  <si>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</si>
  <si>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</si>
  <si>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</si>
  <si>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</si>
  <si>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</si>
  <si>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</si>
  <si>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</si>
  <si>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Grand Total</t>
  </si>
  <si>
    <t>Count of gender</t>
  </si>
  <si>
    <t>Percentage</t>
  </si>
  <si>
    <t>Column Labels</t>
  </si>
  <si>
    <t>21-25</t>
  </si>
  <si>
    <t>26-30</t>
  </si>
  <si>
    <t>31-35</t>
  </si>
  <si>
    <t>Count of age</t>
  </si>
  <si>
    <t>All Reasons</t>
  </si>
  <si>
    <t>(blank)</t>
  </si>
  <si>
    <t>Count of What are your savings objectives?</t>
  </si>
  <si>
    <t>Count of Source</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</si>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</sst>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
      <patternFill patternType="solid">
        <fgColor theme="8"/>
        <bgColor indexed="64"/>
      </patternFill>
    </fill>
    <fill>
      <patternFill patternType="solid">
        <fgColor rgb="FF00B0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pivotButton="1" applyBorder="1"/>
    <xf numFmtId="0" fontId="0" fillId="0" borderId="10" xfId="0" applyBorder="1"/>
    <xf numFmtId="0" fontId="0" fillId="0" borderId="10" xfId="0" applyBorder="1" applyAlignment="1">
      <alignment horizontal="left"/>
    </xf>
    <xf numFmtId="10" fontId="0" fillId="0" borderId="10" xfId="0" applyNumberFormat="1" applyBorder="1"/>
    <xf numFmtId="0" fontId="0" fillId="0" borderId="0" xfId="0" pivotButton="1"/>
    <xf numFmtId="0" fontId="0" fillId="0" borderId="0" xfId="0" applyAlignment="1">
      <alignment horizontal="left"/>
    </xf>
    <xf numFmtId="0" fontId="0" fillId="33" borderId="10" xfId="0" applyFill="1" applyBorder="1"/>
    <xf numFmtId="0" fontId="0" fillId="34" borderId="10" xfId="0" applyFill="1" applyBorder="1"/>
    <xf numFmtId="0" fontId="18" fillId="35" borderId="10" xfId="0" applyFont="1" applyFill="1" applyBorder="1" applyAlignment="1">
      <alignment horizontal="center"/>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excel.xlsx]Gender distribution!PivotTable1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Distribution</a:t>
            </a:r>
          </a:p>
        </c:rich>
      </c:tx>
      <c:overlay val="0"/>
      <c:spPr>
        <a:noFill/>
        <a:ln>
          <a:noFill/>
        </a:ln>
        <a:effectLst/>
      </c:spPr>
    </c:title>
    <c:autoTitleDeleted val="0"/>
    <c:pivotFmts>
      <c:pivotFmt>
        <c:idx val="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distribution'!$B$3</c:f>
              <c:strCache>
                <c:ptCount val="1"/>
                <c:pt idx="0">
                  <c:v>Count of gender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18C-408A-B846-F9DEA05C62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18C-408A-B846-F9DEA05C624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'Gender distribution'!$A$4:$A$6</c:f>
              <c:strCache>
                <c:ptCount val="2"/>
                <c:pt idx="0">
                  <c:v>Female</c:v>
                </c:pt>
                <c:pt idx="1">
                  <c:v>Male</c:v>
                </c:pt>
              </c:strCache>
            </c:strRef>
          </c:cat>
          <c:val>
            <c:numRef>
              <c:f>'Gender distribution'!$B$4:$B$6</c:f>
              <c:numCache>
                <c:formatCode>General</c:formatCode>
                <c:ptCount val="2"/>
                <c:pt idx="0">
                  <c:v>15</c:v>
                </c:pt>
                <c:pt idx="1">
                  <c:v>25</c:v>
                </c:pt>
              </c:numCache>
            </c:numRef>
          </c:val>
          <c:extLst>
            <c:ext xmlns:c16="http://schemas.microsoft.com/office/drawing/2014/chart" uri="{C3380CC4-5D6E-409C-BE32-E72D297353CC}">
              <c16:uniqueId val="{00000000-7CDC-43F3-825A-3674017B01FD}"/>
            </c:ext>
          </c:extLst>
        </c:ser>
        <c:ser>
          <c:idx val="1"/>
          <c:order val="1"/>
          <c:tx>
            <c:strRef>
              <c:f>'Gender distribution'!$C$3</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18C-408A-B846-F9DEA05C62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18C-408A-B846-F9DEA05C624C}"/>
              </c:ext>
            </c:extLst>
          </c:dPt>
          <c:cat>
            <c:strRef>
              <c:f>'Gender distribution'!$A$4:$A$6</c:f>
              <c:strCache>
                <c:ptCount val="2"/>
                <c:pt idx="0">
                  <c:v>Female</c:v>
                </c:pt>
                <c:pt idx="1">
                  <c:v>Male</c:v>
                </c:pt>
              </c:strCache>
            </c:strRef>
          </c:cat>
          <c:val>
            <c:numRef>
              <c:f>'Gender distribution'!$C$4:$C$6</c:f>
              <c:numCache>
                <c:formatCode>0.00%</c:formatCode>
                <c:ptCount val="2"/>
                <c:pt idx="0">
                  <c:v>0.375</c:v>
                </c:pt>
                <c:pt idx="1">
                  <c:v>0.625</c:v>
                </c:pt>
              </c:numCache>
            </c:numRef>
          </c:val>
          <c:extLst>
            <c:ext xmlns:c16="http://schemas.microsoft.com/office/drawing/2014/chart" uri="{C3380CC4-5D6E-409C-BE32-E72D297353CC}">
              <c16:uniqueId val="{00000001-7CDC-43F3-825A-3674017B01FD}"/>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0812051618547687"/>
          <c:y val="9.6272601341498981E-2"/>
          <c:w val="0.12243503937007874"/>
          <c:h val="0.25694553805774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excel.xlsx]Bar Chart!PivotTable2</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Chart'!$B$3:$B$4</c:f>
              <c:strCache>
                <c:ptCount val="1"/>
                <c:pt idx="0">
                  <c:v>21-25</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'Bar Chart'!$A$5:$A$7</c:f>
              <c:strCache>
                <c:ptCount val="2"/>
                <c:pt idx="0">
                  <c:v>Yes</c:v>
                </c:pt>
                <c:pt idx="1">
                  <c:v>No</c:v>
                </c:pt>
              </c:strCache>
            </c:strRef>
          </c:cat>
          <c:val>
            <c:numRef>
              <c:f>'Bar Chart'!$B$5:$B$7</c:f>
              <c:numCache>
                <c:formatCode>General</c:formatCode>
                <c:ptCount val="2"/>
                <c:pt idx="0">
                  <c:v>7</c:v>
                </c:pt>
                <c:pt idx="1">
                  <c:v>3</c:v>
                </c:pt>
              </c:numCache>
            </c:numRef>
          </c:val>
          <c:extLst>
            <c:ext xmlns:c16="http://schemas.microsoft.com/office/drawing/2014/chart" uri="{C3380CC4-5D6E-409C-BE32-E72D297353CC}">
              <c16:uniqueId val="{00000000-C24A-45F5-A7EA-92514460EAD1}"/>
            </c:ext>
          </c:extLst>
        </c:ser>
        <c:ser>
          <c:idx val="1"/>
          <c:order val="1"/>
          <c:tx>
            <c:strRef>
              <c:f>'Bar Chart'!$C$3:$C$4</c:f>
              <c:strCache>
                <c:ptCount val="1"/>
                <c:pt idx="0">
                  <c:v>26-30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'Bar Chart'!$A$5:$A$7</c:f>
              <c:strCache>
                <c:ptCount val="2"/>
                <c:pt idx="0">
                  <c:v>Yes</c:v>
                </c:pt>
                <c:pt idx="1">
                  <c:v>No</c:v>
                </c:pt>
              </c:strCache>
            </c:strRef>
          </c:cat>
          <c:val>
            <c:numRef>
              <c:f>'Bar Chart'!$C$5:$C$7</c:f>
              <c:numCache>
                <c:formatCode>General</c:formatCode>
                <c:ptCount val="2"/>
                <c:pt idx="0">
                  <c:v>21</c:v>
                </c:pt>
              </c:numCache>
            </c:numRef>
          </c:val>
          <c:extLst>
            <c:ext xmlns:c16="http://schemas.microsoft.com/office/drawing/2014/chart" uri="{C3380CC4-5D6E-409C-BE32-E72D297353CC}">
              <c16:uniqueId val="{00000000-9696-450D-89E1-44D786041116}"/>
            </c:ext>
          </c:extLst>
        </c:ser>
        <c:ser>
          <c:idx val="2"/>
          <c:order val="2"/>
          <c:tx>
            <c:strRef>
              <c:f>'Bar Chart'!$D$3:$D$4</c:f>
              <c:strCache>
                <c:ptCount val="1"/>
                <c:pt idx="0">
                  <c:v>31-35</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'Bar Chart'!$A$5:$A$7</c:f>
              <c:strCache>
                <c:ptCount val="2"/>
                <c:pt idx="0">
                  <c:v>Yes</c:v>
                </c:pt>
                <c:pt idx="1">
                  <c:v>No</c:v>
                </c:pt>
              </c:strCache>
            </c:strRef>
          </c:cat>
          <c:val>
            <c:numRef>
              <c:f>'Bar Chart'!$D$5:$D$7</c:f>
              <c:numCache>
                <c:formatCode>General</c:formatCode>
                <c:ptCount val="2"/>
                <c:pt idx="0">
                  <c:v>9</c:v>
                </c:pt>
              </c:numCache>
            </c:numRef>
          </c:val>
          <c:extLst>
            <c:ext xmlns:c16="http://schemas.microsoft.com/office/drawing/2014/chart" uri="{C3380CC4-5D6E-409C-BE32-E72D297353CC}">
              <c16:uniqueId val="{00000001-9696-450D-89E1-44D786041116}"/>
            </c:ext>
          </c:extLst>
        </c:ser>
        <c:dLbls>
          <c:dLblPos val="outEnd"/>
          <c:showLegendKey val="0"/>
          <c:showVal val="1"/>
          <c:showCatName val="0"/>
          <c:showSerName val="0"/>
          <c:showPercent val="0"/>
          <c:showBubbleSize val="0"/>
        </c:dLbls>
        <c:gapWidth val="182"/>
        <c:overlap val="-50"/>
        <c:axId val="242530511"/>
        <c:axId val="242531951"/>
      </c:barChart>
      <c:catAx>
        <c:axId val="2425305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Invester Avenues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531951"/>
        <c:crosses val="autoZero"/>
        <c:auto val="1"/>
        <c:lblAlgn val="ctr"/>
        <c:lblOffset val="100"/>
        <c:noMultiLvlLbl val="0"/>
      </c:catAx>
      <c:valAx>
        <c:axId val="2425319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Participant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530511"/>
        <c:crosses val="autoZero"/>
        <c:crossBetween val="between"/>
      </c:valAx>
      <c:spPr>
        <a:noFill/>
        <a:ln>
          <a:noFill/>
        </a:ln>
        <a:effectLst/>
      </c:spPr>
    </c:plotArea>
    <c:legend>
      <c:legendPos val="r"/>
      <c:layout>
        <c:manualLayout>
          <c:xMode val="edge"/>
          <c:yMode val="edge"/>
          <c:x val="0.88214787631184111"/>
          <c:y val="0.15464535542922608"/>
          <c:w val="9.2713863255780807E-2"/>
          <c:h val="0.36684282177732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excel.xlsx]Stacked Bar Chart1!PivotTable1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Reasons for Investment Avenue</a:t>
            </a:r>
          </a:p>
          <a:p>
            <a:pPr>
              <a:defRPr/>
            </a:pPr>
            <a:endParaRPr lang="en-IN"/>
          </a:p>
        </c:rich>
      </c:tx>
      <c:layout>
        <c:manualLayout>
          <c:xMode val="edge"/>
          <c:yMode val="edge"/>
          <c:x val="0.17876377952755906"/>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'Stacked Bar Chart1'!$B$3:$B$4</c:f>
              <c:strCache>
                <c:ptCount val="1"/>
                <c:pt idx="0">
                  <c:v>21-25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'Stacked Bar Chart1'!$A$5:$A$18</c:f>
              <c:strCache>
                <c:ptCount val="13"/>
                <c:pt idx="0">
                  <c:v>(blank)</c:v>
                </c:pt>
                <c:pt idx="1">
                  <c:v>Tax Incentives</c:v>
                </c:pt>
                <c:pt idx="2">
                  <c:v>Tax Benefits</c:v>
                </c:pt>
                <c:pt idx="3">
                  <c:v>Safe Investment</c:v>
                </c:pt>
                <c:pt idx="4">
                  <c:v>Risk Free</c:v>
                </c:pt>
                <c:pt idx="5">
                  <c:v>Liquidity</c:v>
                </c:pt>
                <c:pt idx="6">
                  <c:v>High Interest Rates</c:v>
                </c:pt>
                <c:pt idx="7">
                  <c:v>Fund Diversification</c:v>
                </c:pt>
                <c:pt idx="8">
                  <c:v>Fixed Returns</c:v>
                </c:pt>
                <c:pt idx="9">
                  <c:v>Dividend</c:v>
                </c:pt>
                <c:pt idx="10">
                  <c:v>Capital Appreciation</c:v>
                </c:pt>
                <c:pt idx="11">
                  <c:v>Better Returns</c:v>
                </c:pt>
                <c:pt idx="12">
                  <c:v>Assured Returns</c:v>
                </c:pt>
              </c:strCache>
            </c:strRef>
          </c:cat>
          <c:val>
            <c:numRef>
              <c:f>'Stacked Bar Chart1'!$B$5:$B$18</c:f>
              <c:numCache>
                <c:formatCode>General</c:formatCode>
                <c:ptCount val="13"/>
                <c:pt idx="0">
                  <c:v>5</c:v>
                </c:pt>
                <c:pt idx="2">
                  <c:v>1</c:v>
                </c:pt>
                <c:pt idx="7">
                  <c:v>1</c:v>
                </c:pt>
                <c:pt idx="9">
                  <c:v>1</c:v>
                </c:pt>
                <c:pt idx="11">
                  <c:v>1</c:v>
                </c:pt>
                <c:pt idx="12">
                  <c:v>1</c:v>
                </c:pt>
              </c:numCache>
            </c:numRef>
          </c:val>
          <c:extLst>
            <c:ext xmlns:c16="http://schemas.microsoft.com/office/drawing/2014/chart" uri="{C3380CC4-5D6E-409C-BE32-E72D297353CC}">
              <c16:uniqueId val="{00000000-6849-4267-9D26-A8C643E0727A}"/>
            </c:ext>
          </c:extLst>
        </c:ser>
        <c:ser>
          <c:idx val="1"/>
          <c:order val="1"/>
          <c:tx>
            <c:strRef>
              <c:f>'Stacked Bar Chart1'!$C$3:$C$4</c:f>
              <c:strCache>
                <c:ptCount val="1"/>
                <c:pt idx="0">
                  <c:v>26-30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'Stacked Bar Chart1'!$A$5:$A$18</c:f>
              <c:strCache>
                <c:ptCount val="13"/>
                <c:pt idx="0">
                  <c:v>(blank)</c:v>
                </c:pt>
                <c:pt idx="1">
                  <c:v>Tax Incentives</c:v>
                </c:pt>
                <c:pt idx="2">
                  <c:v>Tax Benefits</c:v>
                </c:pt>
                <c:pt idx="3">
                  <c:v>Safe Investment</c:v>
                </c:pt>
                <c:pt idx="4">
                  <c:v>Risk Free</c:v>
                </c:pt>
                <c:pt idx="5">
                  <c:v>Liquidity</c:v>
                </c:pt>
                <c:pt idx="6">
                  <c:v>High Interest Rates</c:v>
                </c:pt>
                <c:pt idx="7">
                  <c:v>Fund Diversification</c:v>
                </c:pt>
                <c:pt idx="8">
                  <c:v>Fixed Returns</c:v>
                </c:pt>
                <c:pt idx="9">
                  <c:v>Dividend</c:v>
                </c:pt>
                <c:pt idx="10">
                  <c:v>Capital Appreciation</c:v>
                </c:pt>
                <c:pt idx="11">
                  <c:v>Better Returns</c:v>
                </c:pt>
                <c:pt idx="12">
                  <c:v>Assured Returns</c:v>
                </c:pt>
              </c:strCache>
            </c:strRef>
          </c:cat>
          <c:val>
            <c:numRef>
              <c:f>'Stacked Bar Chart1'!$C$5:$C$18</c:f>
              <c:numCache>
                <c:formatCode>General</c:formatCode>
                <c:ptCount val="13"/>
                <c:pt idx="0">
                  <c:v>18</c:v>
                </c:pt>
                <c:pt idx="3">
                  <c:v>1</c:v>
                </c:pt>
                <c:pt idx="4">
                  <c:v>1</c:v>
                </c:pt>
                <c:pt idx="5">
                  <c:v>1</c:v>
                </c:pt>
              </c:numCache>
            </c:numRef>
          </c:val>
          <c:extLst>
            <c:ext xmlns:c16="http://schemas.microsoft.com/office/drawing/2014/chart" uri="{C3380CC4-5D6E-409C-BE32-E72D297353CC}">
              <c16:uniqueId val="{00000001-6849-4267-9D26-A8C643E0727A}"/>
            </c:ext>
          </c:extLst>
        </c:ser>
        <c:ser>
          <c:idx val="2"/>
          <c:order val="2"/>
          <c:tx>
            <c:strRef>
              <c:f>'Stacked Bar Chart1'!$D$3:$D$4</c:f>
              <c:strCache>
                <c:ptCount val="1"/>
                <c:pt idx="0">
                  <c:v>31-35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'Stacked Bar Chart1'!$A$5:$A$18</c:f>
              <c:strCache>
                <c:ptCount val="13"/>
                <c:pt idx="0">
                  <c:v>(blank)</c:v>
                </c:pt>
                <c:pt idx="1">
                  <c:v>Tax Incentives</c:v>
                </c:pt>
                <c:pt idx="2">
                  <c:v>Tax Benefits</c:v>
                </c:pt>
                <c:pt idx="3">
                  <c:v>Safe Investment</c:v>
                </c:pt>
                <c:pt idx="4">
                  <c:v>Risk Free</c:v>
                </c:pt>
                <c:pt idx="5">
                  <c:v>Liquidity</c:v>
                </c:pt>
                <c:pt idx="6">
                  <c:v>High Interest Rates</c:v>
                </c:pt>
                <c:pt idx="7">
                  <c:v>Fund Diversification</c:v>
                </c:pt>
                <c:pt idx="8">
                  <c:v>Fixed Returns</c:v>
                </c:pt>
                <c:pt idx="9">
                  <c:v>Dividend</c:v>
                </c:pt>
                <c:pt idx="10">
                  <c:v>Capital Appreciation</c:v>
                </c:pt>
                <c:pt idx="11">
                  <c:v>Better Returns</c:v>
                </c:pt>
                <c:pt idx="12">
                  <c:v>Assured Returns</c:v>
                </c:pt>
              </c:strCache>
            </c:strRef>
          </c:cat>
          <c:val>
            <c:numRef>
              <c:f>'Stacked Bar Chart1'!$D$5:$D$18</c:f>
              <c:numCache>
                <c:formatCode>General</c:formatCode>
                <c:ptCount val="13"/>
                <c:pt idx="0">
                  <c:v>5</c:v>
                </c:pt>
                <c:pt idx="1">
                  <c:v>1</c:v>
                </c:pt>
                <c:pt idx="6">
                  <c:v>1</c:v>
                </c:pt>
                <c:pt idx="8">
                  <c:v>1</c:v>
                </c:pt>
                <c:pt idx="10">
                  <c:v>1</c:v>
                </c:pt>
              </c:numCache>
            </c:numRef>
          </c:val>
          <c:extLst>
            <c:ext xmlns:c16="http://schemas.microsoft.com/office/drawing/2014/chart" uri="{C3380CC4-5D6E-409C-BE32-E72D297353CC}">
              <c16:uniqueId val="{00000002-6849-4267-9D26-A8C643E0727A}"/>
            </c:ext>
          </c:extLst>
        </c:ser>
        <c:dLbls>
          <c:showLegendKey val="0"/>
          <c:showVal val="0"/>
          <c:showCatName val="0"/>
          <c:showSerName val="0"/>
          <c:showPercent val="0"/>
          <c:showBubbleSize val="0"/>
        </c:dLbls>
        <c:gapWidth val="150"/>
        <c:overlap val="100"/>
        <c:axId val="1395657856"/>
        <c:axId val="1395656416"/>
      </c:barChart>
      <c:catAx>
        <c:axId val="139565785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All Resaons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656416"/>
        <c:crosses val="autoZero"/>
        <c:auto val="1"/>
        <c:lblAlgn val="ctr"/>
        <c:lblOffset val="100"/>
        <c:noMultiLvlLbl val="0"/>
      </c:catAx>
      <c:valAx>
        <c:axId val="139565641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65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excel.xlsx]Doughnut Chart!PivotTable5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Distribution of Saving Objectives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'Doughnut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911-415B-A4F5-426CC40672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11-415B-A4F5-426CC40672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911-415B-A4F5-426CC40672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'Doughnut Chart'!$A$4:$A$7</c:f>
              <c:strCache>
                <c:ptCount val="3"/>
                <c:pt idx="0">
                  <c:v>Education</c:v>
                </c:pt>
                <c:pt idx="1">
                  <c:v>Health Care</c:v>
                </c:pt>
                <c:pt idx="2">
                  <c:v>Retirement Plan</c:v>
                </c:pt>
              </c:strCache>
            </c:strRef>
          </c:cat>
          <c:val>
            <c:numRef>
              <c:f>'Doughnut Chart'!$B$4:$B$7</c:f>
              <c:numCache>
                <c:formatCode>General</c:formatCode>
                <c:ptCount val="3"/>
                <c:pt idx="0">
                  <c:v>3</c:v>
                </c:pt>
                <c:pt idx="1">
                  <c:v>13</c:v>
                </c:pt>
                <c:pt idx="2">
                  <c:v>24</c:v>
                </c:pt>
              </c:numCache>
            </c:numRef>
          </c:val>
          <c:extLst>
            <c:ext xmlns:c16="http://schemas.microsoft.com/office/drawing/2014/chart" uri="{C3380CC4-5D6E-409C-BE32-E72D297353CC}">
              <c16:uniqueId val="{00000000-A6E8-483F-9C18-42E0FEFD2F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413385826771655"/>
          <c:y val="0.37479075532225142"/>
          <c:w val="0.2036439195100612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excel.xlsx]Horizonta Bar Chart!PivotTable6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Common Information Sources of Participants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378913085083116"/>
          <c:y val="0.20355847950472222"/>
          <c:w val="0.45301159230096238"/>
          <c:h val="0.60165488849054771"/>
        </c:manualLayout>
      </c:layout>
      <c:barChart>
        <c:barDir val="bar"/>
        <c:grouping val="clustered"/>
        <c:varyColors val="0"/>
        <c:ser>
          <c:idx val="0"/>
          <c:order val="0"/>
          <c:tx>
            <c:strRef>
              <c:f>'Horizonta 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'Horizonta Bar Chart'!$A$4:$A$8</c:f>
              <c:strCache>
                <c:ptCount val="4"/>
                <c:pt idx="0">
                  <c:v>Financial Consultants</c:v>
                </c:pt>
                <c:pt idx="1">
                  <c:v>Internet</c:v>
                </c:pt>
                <c:pt idx="2">
                  <c:v>Newspapers and Magazines</c:v>
                </c:pt>
                <c:pt idx="3">
                  <c:v>Television</c:v>
                </c:pt>
              </c:strCache>
            </c:strRef>
          </c:cat>
          <c:val>
            <c:numRef>
              <c:f>'Horizonta Bar Chart'!$B$4:$B$8</c:f>
              <c:numCache>
                <c:formatCode>General</c:formatCode>
                <c:ptCount val="4"/>
                <c:pt idx="0">
                  <c:v>16</c:v>
                </c:pt>
                <c:pt idx="1">
                  <c:v>4</c:v>
                </c:pt>
                <c:pt idx="2">
                  <c:v>14</c:v>
                </c:pt>
                <c:pt idx="3">
                  <c:v>6</c:v>
                </c:pt>
              </c:numCache>
            </c:numRef>
          </c:val>
          <c:extLst>
            <c:ext xmlns:c16="http://schemas.microsoft.com/office/drawing/2014/chart" uri="{C3380CC4-5D6E-409C-BE32-E72D297353CC}">
              <c16:uniqueId val="{00000000-8D40-4645-9E3C-0349E104B7DD}"/>
            </c:ext>
          </c:extLst>
        </c:ser>
        <c:dLbls>
          <c:dLblPos val="inEnd"/>
          <c:showLegendKey val="0"/>
          <c:showVal val="1"/>
          <c:showCatName val="0"/>
          <c:showSerName val="0"/>
          <c:showPercent val="0"/>
          <c:showBubbleSize val="0"/>
        </c:dLbls>
        <c:gapWidth val="115"/>
        <c:overlap val="-20"/>
        <c:axId val="242543951"/>
        <c:axId val="242527631"/>
      </c:barChart>
      <c:catAx>
        <c:axId val="24254395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Sources</a:t>
                </a:r>
              </a:p>
              <a:p>
                <a:pPr>
                  <a:defRPr/>
                </a:pPr>
                <a:endParaRPr lang="en-IN"/>
              </a:p>
            </c:rich>
          </c:tx>
          <c:layout>
            <c:manualLayout>
              <c:xMode val="edge"/>
              <c:yMode val="edge"/>
              <c:x val="3.9938928532370951E-2"/>
              <c:y val="0.3565909297094716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2527631"/>
        <c:crosses val="autoZero"/>
        <c:auto val="1"/>
        <c:lblAlgn val="ctr"/>
        <c:lblOffset val="100"/>
        <c:noMultiLvlLbl val="0"/>
      </c:catAx>
      <c:valAx>
        <c:axId val="24252763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Participant</a:t>
                </a:r>
              </a:p>
              <a:p>
                <a:pPr>
                  <a:defRPr/>
                </a:pPr>
                <a:endParaRPr lang="en-IN"/>
              </a:p>
            </c:rich>
          </c:tx>
          <c:layout>
            <c:manualLayout>
              <c:xMode val="edge"/>
              <c:yMode val="edge"/>
              <c:x val="0.46659011373578302"/>
              <c:y val="0.8824281499973408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2543951"/>
        <c:crosses val="autoZero"/>
        <c:crossBetween val="between"/>
      </c:valAx>
      <c:spPr>
        <a:noFill/>
        <a:ln>
          <a:noFill/>
        </a:ln>
        <a:effectLst/>
      </c:spPr>
    </c:plotArea>
    <c:legend>
      <c:legendPos val="r"/>
      <c:layout>
        <c:manualLayout>
          <c:xMode val="edge"/>
          <c:yMode val="edge"/>
          <c:x val="3.9514469870953639E-2"/>
          <c:y val="0.79015669823155299"/>
          <c:w val="9.2429974573490808E-2"/>
          <c:h val="7.89635205015344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excel.xlsx]Histogram Chart!PivotTable7</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Distribution of Investment Durations</a:t>
            </a:r>
            <a:endParaRPr lang="en-US"/>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'Histogram 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'Histogram Chart'!$A$4:$A$8</c:f>
              <c:strCache>
                <c:ptCount val="4"/>
                <c:pt idx="0">
                  <c:v>1-3 years</c:v>
                </c:pt>
                <c:pt idx="1">
                  <c:v>3-5 years</c:v>
                </c:pt>
                <c:pt idx="2">
                  <c:v>Less than 1 year</c:v>
                </c:pt>
                <c:pt idx="3">
                  <c:v>More than 5 years</c:v>
                </c:pt>
              </c:strCache>
            </c:strRef>
          </c:cat>
          <c:val>
            <c:numRef>
              <c:f>'Histogram Chart'!$B$4:$B$8</c:f>
              <c:numCache>
                <c:formatCode>General</c:formatCode>
                <c:ptCount val="4"/>
                <c:pt idx="0">
                  <c:v>18</c:v>
                </c:pt>
                <c:pt idx="1">
                  <c:v>19</c:v>
                </c:pt>
                <c:pt idx="2">
                  <c:v>2</c:v>
                </c:pt>
                <c:pt idx="3">
                  <c:v>1</c:v>
                </c:pt>
              </c:numCache>
            </c:numRef>
          </c:val>
          <c:extLst>
            <c:ext xmlns:c16="http://schemas.microsoft.com/office/drawing/2014/chart" uri="{C3380CC4-5D6E-409C-BE32-E72D297353CC}">
              <c16:uniqueId val="{00000000-0521-4294-A85C-DEDB467A5951}"/>
            </c:ext>
          </c:extLst>
        </c:ser>
        <c:dLbls>
          <c:showLegendKey val="0"/>
          <c:showVal val="0"/>
          <c:showCatName val="0"/>
          <c:showSerName val="0"/>
          <c:showPercent val="0"/>
          <c:showBubbleSize val="0"/>
        </c:dLbls>
        <c:gapWidth val="315"/>
        <c:overlap val="-40"/>
        <c:axId val="242492591"/>
        <c:axId val="242495951"/>
      </c:barChart>
      <c:catAx>
        <c:axId val="242492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Duration</a:t>
                </a:r>
              </a:p>
            </c:rich>
          </c:tx>
          <c:layout>
            <c:manualLayout>
              <c:xMode val="edge"/>
              <c:yMode val="edge"/>
              <c:x val="0.49354055601406766"/>
              <c:y val="0.915150157652612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495951"/>
        <c:crosses val="autoZero"/>
        <c:auto val="1"/>
        <c:lblAlgn val="ctr"/>
        <c:lblOffset val="100"/>
        <c:noMultiLvlLbl val="0"/>
      </c:catAx>
      <c:valAx>
        <c:axId val="242495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Participant</a:t>
                </a:r>
              </a:p>
            </c:rich>
          </c:tx>
          <c:layout>
            <c:manualLayout>
              <c:xMode val="edge"/>
              <c:yMode val="edge"/>
              <c:x val="1.4164305949008499E-2"/>
              <c:y val="0.4236628244226583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49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excel.xlsx]Radar Chart!PivotTable8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participants' expectations Expectations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1404199475067"/>
          <c:y val="0.26466467157103718"/>
          <c:w val="0.50515748031496066"/>
          <c:h val="0.66395287664616953"/>
        </c:manualLayout>
      </c:layout>
      <c:radarChart>
        <c:radarStyle val="marker"/>
        <c:varyColors val="0"/>
        <c:ser>
          <c:idx val="0"/>
          <c:order val="0"/>
          <c:tx>
            <c:strRef>
              <c:f>'Radar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'Radar Chart'!$A$4:$A$7</c:f>
              <c:strCache>
                <c:ptCount val="3"/>
                <c:pt idx="0">
                  <c:v>10%-20%</c:v>
                </c:pt>
                <c:pt idx="1">
                  <c:v>20%-30%</c:v>
                </c:pt>
                <c:pt idx="2">
                  <c:v>30%-40%</c:v>
                </c:pt>
              </c:strCache>
            </c:strRef>
          </c:cat>
          <c:val>
            <c:numRef>
              <c:f>'Radar Chart'!$B$4:$B$7</c:f>
              <c:numCache>
                <c:formatCode>General</c:formatCode>
                <c:ptCount val="3"/>
                <c:pt idx="0">
                  <c:v>3</c:v>
                </c:pt>
                <c:pt idx="1">
                  <c:v>32</c:v>
                </c:pt>
                <c:pt idx="2">
                  <c:v>5</c:v>
                </c:pt>
              </c:numCache>
            </c:numRef>
          </c:val>
          <c:extLst>
            <c:ext xmlns:c16="http://schemas.microsoft.com/office/drawing/2014/chart" uri="{C3380CC4-5D6E-409C-BE32-E72D297353CC}">
              <c16:uniqueId val="{00000000-7A1F-4184-BD23-CF32C04010D3}"/>
            </c:ext>
          </c:extLst>
        </c:ser>
        <c:dLbls>
          <c:showLegendKey val="0"/>
          <c:showVal val="1"/>
          <c:showCatName val="0"/>
          <c:showSerName val="0"/>
          <c:showPercent val="0"/>
          <c:showBubbleSize val="0"/>
        </c:dLbls>
        <c:axId val="242502191"/>
        <c:axId val="242485871"/>
      </c:radarChart>
      <c:catAx>
        <c:axId val="242502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2485871"/>
        <c:crosses val="autoZero"/>
        <c:auto val="1"/>
        <c:lblAlgn val="ctr"/>
        <c:lblOffset val="100"/>
        <c:noMultiLvlLbl val="0"/>
      </c:catAx>
      <c:valAx>
        <c:axId val="242485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50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Duration Vs  Expect</a:t>
            </a:r>
          </a:p>
          <a:p>
            <a:pPr>
              <a:defRPr/>
            </a:pPr>
            <a:endParaRPr lang="en-IN"/>
          </a:p>
        </c:rich>
      </c:tx>
      <c:layout>
        <c:manualLayout>
          <c:xMode val="edge"/>
          <c:yMode val="edge"/>
          <c:x val="0.27115266841644792"/>
          <c:y val="5.092592592592592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1696544510883508"/>
          <c:y val="0.28273148148148147"/>
          <c:w val="0.84975134687111475"/>
          <c:h val="0.49569371536891221"/>
        </c:manualLayout>
      </c:layout>
      <c:scatterChart>
        <c:scatterStyle val="smoothMarker"/>
        <c:varyColors val="0"/>
        <c:ser>
          <c:idx val="0"/>
          <c:order val="0"/>
          <c:tx>
            <c:strRef>
              <c:f>'[1]Scatter Chart'!$E$3</c:f>
              <c:strCache>
                <c:ptCount val="1"/>
                <c:pt idx="0">
                  <c:v>Gender</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1"/>
          <c:extLst>
            <c:ext xmlns:c16="http://schemas.microsoft.com/office/drawing/2014/chart" uri="{C3380CC4-5D6E-409C-BE32-E72D297353CC}">
              <c16:uniqueId val="{00000000-3C01-4466-BA4B-CB4E897BAD52}"/>
            </c:ext>
          </c:extLst>
        </c:ser>
        <c:ser>
          <c:idx val="1"/>
          <c:order val="1"/>
          <c:tx>
            <c:strRef>
              <c:f>'[1]Scatter Chart'!$E$4</c:f>
              <c:strCache>
                <c:ptCount val="1"/>
                <c:pt idx="0">
                  <c:v>Duration</c:v>
                </c:pt>
              </c:strCache>
            </c:strRef>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1"/>
          <c:extLst>
            <c:ext xmlns:c16="http://schemas.microsoft.com/office/drawing/2014/chart" uri="{C3380CC4-5D6E-409C-BE32-E72D297353CC}">
              <c16:uniqueId val="{00000001-3C01-4466-BA4B-CB4E897BAD52}"/>
            </c:ext>
          </c:extLst>
        </c:ser>
        <c:ser>
          <c:idx val="2"/>
          <c:order val="2"/>
          <c:tx>
            <c:strRef>
              <c:f>'[1]Scatter Chart'!$E$5</c:f>
              <c:strCache>
                <c:ptCount val="1"/>
                <c:pt idx="0">
                  <c:v>Expect</c:v>
                </c:pt>
              </c:strCache>
            </c:strRef>
          </c:tx>
          <c:spPr>
            <a:ln w="22225" cap="rnd">
              <a:solidFill>
                <a:schemeClr val="accent3"/>
              </a:solid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1"/>
          <c:extLst>
            <c:ext xmlns:c16="http://schemas.microsoft.com/office/drawing/2014/chart" uri="{C3380CC4-5D6E-409C-BE32-E72D297353CC}">
              <c16:uniqueId val="{00000002-3C01-4466-BA4B-CB4E897BAD52}"/>
            </c:ext>
          </c:extLst>
        </c:ser>
        <c:ser>
          <c:idx val="3"/>
          <c:order val="3"/>
          <c:spPr>
            <a:ln w="22225" cap="rnd">
              <a:solidFill>
                <a:schemeClr val="accent4"/>
              </a:solid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'[1]Scatter Chart'!$B$2:$B$41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'[1]Scatter Chart'!$C$2:$C$41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1"/>
          <c:extLst>
            <c:ext xmlns:c16="http://schemas.microsoft.com/office/drawing/2014/chart" uri="{C3380CC4-5D6E-409C-BE32-E72D297353CC}">
              <c16:uniqueId val="{00000003-3C01-4466-BA4B-CB4E897BAD52}"/>
            </c:ext>
          </c:extLst>
        </c:ser>
        <c:ser>
          <c:idx val="4"/>
          <c:order val="4"/>
          <c:tx>
            <c:strRef>
              <c:f>'[1]Scatter Chart'!$E$3</c:f>
              <c:strCache>
                <c:ptCount val="1"/>
                <c:pt idx="0">
                  <c:v>Gender</c:v>
                </c:pt>
              </c:strCache>
            </c:strRef>
          </c:tx>
          <c:spPr>
            <a:ln w="22225" cap="rnd">
              <a:solidFill>
                <a:schemeClr val="accent5"/>
              </a:solid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1"/>
          <c:extLst>
            <c:ext xmlns:c16="http://schemas.microsoft.com/office/drawing/2014/chart" uri="{C3380CC4-5D6E-409C-BE32-E72D297353CC}">
              <c16:uniqueId val="{00000004-3C01-4466-BA4B-CB4E897BAD52}"/>
            </c:ext>
          </c:extLst>
        </c:ser>
        <c:ser>
          <c:idx val="5"/>
          <c:order val="5"/>
          <c:tx>
            <c:strRef>
              <c:f>'[1]Scatter Chart'!$E$4</c:f>
              <c:strCache>
                <c:ptCount val="1"/>
                <c:pt idx="0">
                  <c:v>Duration</c:v>
                </c:pt>
              </c:strCache>
            </c:strRef>
          </c:tx>
          <c:spPr>
            <a:ln w="22225" cap="rnd">
              <a:solidFill>
                <a:schemeClr val="accent6"/>
              </a:solid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1"/>
          <c:extLst>
            <c:ext xmlns:c16="http://schemas.microsoft.com/office/drawing/2014/chart" uri="{C3380CC4-5D6E-409C-BE32-E72D297353CC}">
              <c16:uniqueId val="{00000005-3C01-4466-BA4B-CB4E897BAD52}"/>
            </c:ext>
          </c:extLst>
        </c:ser>
        <c:ser>
          <c:idx val="6"/>
          <c:order val="6"/>
          <c:tx>
            <c:strRef>
              <c:f>'[1]Scatter Chart'!$E$5</c:f>
              <c:strCache>
                <c:ptCount val="1"/>
                <c:pt idx="0">
                  <c:v>Expect</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3"/>
            <c:spPr>
              <a:solidFill>
                <a:schemeClr val="accent1">
                  <a:lumMod val="60000"/>
                  <a:lumMod val="60000"/>
                  <a:lumOff val="40000"/>
                </a:schemeClr>
              </a:solidFill>
              <a:ln>
                <a:noFill/>
              </a:ln>
              <a:effectLst>
                <a:glow rad="63500">
                  <a:schemeClr val="accent1">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1"/>
          <c:extLst>
            <c:ext xmlns:c16="http://schemas.microsoft.com/office/drawing/2014/chart" uri="{C3380CC4-5D6E-409C-BE32-E72D297353CC}">
              <c16:uniqueId val="{00000006-3C01-4466-BA4B-CB4E897BAD52}"/>
            </c:ext>
          </c:extLst>
        </c:ser>
        <c:dLbls>
          <c:dLblPos val="t"/>
          <c:showLegendKey val="0"/>
          <c:showVal val="1"/>
          <c:showCatName val="0"/>
          <c:showSerName val="0"/>
          <c:showPercent val="0"/>
          <c:showBubbleSize val="0"/>
        </c:dLbls>
        <c:axId val="1332094255"/>
        <c:axId val="1332091855"/>
      </c:scatterChart>
      <c:valAx>
        <c:axId val="13320942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Duration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2091855"/>
        <c:crosses val="autoZero"/>
        <c:crossBetween val="midCat"/>
      </c:valAx>
      <c:valAx>
        <c:axId val="133209185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Expect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20942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Vs Duration</a:t>
            </a:r>
          </a:p>
          <a:p>
            <a:pPr>
              <a:defRPr/>
            </a:pPr>
            <a:endParaRPr lang="en-IN"/>
          </a:p>
        </c:rich>
      </c:tx>
      <c:layout>
        <c:manualLayout>
          <c:xMode val="edge"/>
          <c:yMode val="edge"/>
          <c:x val="0.37177382673122217"/>
          <c:y val="1.85183477248360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'[1]Scatter Chart'!$E$3</c:f>
              <c:strCache>
                <c:ptCount val="1"/>
                <c:pt idx="0">
                  <c:v>Gender</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0"/>
          <c:extLst>
            <c:ext xmlns:c16="http://schemas.microsoft.com/office/drawing/2014/chart" uri="{C3380CC4-5D6E-409C-BE32-E72D297353CC}">
              <c16:uniqueId val="{00000000-712B-4827-97FA-1965397613B6}"/>
            </c:ext>
          </c:extLst>
        </c:ser>
        <c:ser>
          <c:idx val="1"/>
          <c:order val="1"/>
          <c:tx>
            <c:strRef>
              <c:f>'[1]Scatter Chart'!$E$4</c:f>
              <c:strCache>
                <c:ptCount val="1"/>
                <c:pt idx="0">
                  <c:v>Duration</c:v>
                </c:pt>
              </c:strCache>
            </c:strRef>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0"/>
          <c:extLst>
            <c:ext xmlns:c16="http://schemas.microsoft.com/office/drawing/2014/chart" uri="{C3380CC4-5D6E-409C-BE32-E72D297353CC}">
              <c16:uniqueId val="{00000001-712B-4827-97FA-1965397613B6}"/>
            </c:ext>
          </c:extLst>
        </c:ser>
        <c:ser>
          <c:idx val="2"/>
          <c:order val="2"/>
          <c:tx>
            <c:strRef>
              <c:f>'[1]Scatter Chart'!$E$5</c:f>
              <c:strCache>
                <c:ptCount val="1"/>
                <c:pt idx="0">
                  <c:v>Expect</c:v>
                </c:pt>
              </c:strCache>
            </c:strRef>
          </c:tx>
          <c:spPr>
            <a:ln w="95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0"/>
          <c:extLst>
            <c:ext xmlns:c16="http://schemas.microsoft.com/office/drawing/2014/chart" uri="{C3380CC4-5D6E-409C-BE32-E72D297353CC}">
              <c16:uniqueId val="{00000002-712B-4827-97FA-1965397613B6}"/>
            </c:ext>
          </c:extLst>
        </c:ser>
        <c:ser>
          <c:idx val="3"/>
          <c:order val="3"/>
          <c:spPr>
            <a:ln w="95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'[1]Scatter Chart'!$A$2:$A$41</c:f>
              <c:numCache>
                <c:formatCode>General</c:formatCode>
                <c:ptCount val="40"/>
                <c:pt idx="0">
                  <c:v>0</c:v>
                </c:pt>
                <c:pt idx="1">
                  <c:v>0</c:v>
                </c:pt>
                <c:pt idx="2">
                  <c:v>1</c:v>
                </c:pt>
                <c:pt idx="3">
                  <c:v>1</c:v>
                </c:pt>
                <c:pt idx="4">
                  <c:v>0</c:v>
                </c:pt>
                <c:pt idx="5">
                  <c:v>0</c:v>
                </c:pt>
                <c:pt idx="6">
                  <c:v>0</c:v>
                </c:pt>
                <c:pt idx="7">
                  <c:v>1</c:v>
                </c:pt>
                <c:pt idx="8">
                  <c:v>1</c:v>
                </c:pt>
                <c:pt idx="9">
                  <c:v>1</c:v>
                </c:pt>
                <c:pt idx="10">
                  <c:v>0</c:v>
                </c:pt>
                <c:pt idx="11">
                  <c:v>1</c:v>
                </c:pt>
                <c:pt idx="12">
                  <c:v>0</c:v>
                </c:pt>
                <c:pt idx="13">
                  <c:v>0</c:v>
                </c:pt>
                <c:pt idx="14">
                  <c:v>0</c:v>
                </c:pt>
                <c:pt idx="15">
                  <c:v>1</c:v>
                </c:pt>
                <c:pt idx="16">
                  <c:v>0</c:v>
                </c:pt>
                <c:pt idx="17">
                  <c:v>1</c:v>
                </c:pt>
                <c:pt idx="18">
                  <c:v>1</c:v>
                </c:pt>
                <c:pt idx="19">
                  <c:v>1</c:v>
                </c:pt>
                <c:pt idx="20">
                  <c:v>1</c:v>
                </c:pt>
                <c:pt idx="21">
                  <c:v>0</c:v>
                </c:pt>
                <c:pt idx="22">
                  <c:v>1</c:v>
                </c:pt>
                <c:pt idx="23">
                  <c:v>1</c:v>
                </c:pt>
                <c:pt idx="24">
                  <c:v>0</c:v>
                </c:pt>
                <c:pt idx="25">
                  <c:v>0</c:v>
                </c:pt>
                <c:pt idx="26">
                  <c:v>1</c:v>
                </c:pt>
                <c:pt idx="27">
                  <c:v>1</c:v>
                </c:pt>
                <c:pt idx="28">
                  <c:v>1</c:v>
                </c:pt>
                <c:pt idx="29">
                  <c:v>0</c:v>
                </c:pt>
                <c:pt idx="30">
                  <c:v>1</c:v>
                </c:pt>
                <c:pt idx="31">
                  <c:v>0</c:v>
                </c:pt>
                <c:pt idx="32">
                  <c:v>1</c:v>
                </c:pt>
                <c:pt idx="33">
                  <c:v>1</c:v>
                </c:pt>
                <c:pt idx="34">
                  <c:v>1</c:v>
                </c:pt>
                <c:pt idx="35">
                  <c:v>1</c:v>
                </c:pt>
                <c:pt idx="36">
                  <c:v>1</c:v>
                </c:pt>
                <c:pt idx="37">
                  <c:v>1</c:v>
                </c:pt>
                <c:pt idx="38">
                  <c:v>1</c:v>
                </c:pt>
                <c:pt idx="39">
                  <c:v>1</c:v>
                </c:pt>
              </c:numCache>
            </c:numRef>
          </c:xVal>
          <c:yVal>
            <c:numRef>
              <c:f>'[1]Scatter Chart'!$B$2:$B$41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smooth val="0"/>
          <c:extLst>
            <c:ext xmlns:c16="http://schemas.microsoft.com/office/drawing/2014/chart" uri="{C3380CC4-5D6E-409C-BE32-E72D297353CC}">
              <c16:uniqueId val="{00000003-712B-4827-97FA-1965397613B6}"/>
            </c:ext>
          </c:extLst>
        </c:ser>
        <c:dLbls>
          <c:showLegendKey val="0"/>
          <c:showVal val="0"/>
          <c:showCatName val="0"/>
          <c:showSerName val="0"/>
          <c:showPercent val="0"/>
          <c:showBubbleSize val="0"/>
        </c:dLbls>
        <c:axId val="1332122095"/>
        <c:axId val="1332124495"/>
      </c:scatterChart>
      <c:valAx>
        <c:axId val="133212209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Gender</a:t>
                </a:r>
              </a:p>
            </c:rich>
          </c:tx>
          <c:layout>
            <c:manualLayout>
              <c:xMode val="edge"/>
              <c:yMode val="edge"/>
              <c:x val="0.5071237970253718"/>
              <c:y val="0.800554826480023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2124495"/>
        <c:crosses val="autoZero"/>
        <c:crossBetween val="midCat"/>
      </c:valAx>
      <c:valAx>
        <c:axId val="13321244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Duraton</a:t>
                </a:r>
              </a:p>
            </c:rich>
          </c:tx>
          <c:layout>
            <c:manualLayout>
              <c:xMode val="edge"/>
              <c:yMode val="edge"/>
              <c:x val="2.2222222222222223E-2"/>
              <c:y val="0.4212047973170020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21220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Vs Expect</a:t>
            </a:r>
          </a:p>
        </c:rich>
      </c:tx>
      <c:layout>
        <c:manualLayout>
          <c:xMode val="edge"/>
          <c:yMode val="edge"/>
          <c:x val="0.35368044619422573"/>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'[1]Scatter Chart'!$E$3</c:f>
              <c:strCache>
                <c:ptCount val="1"/>
                <c:pt idx="0">
                  <c:v>Gender</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1"/>
          <c:extLst>
            <c:ext xmlns:c16="http://schemas.microsoft.com/office/drawing/2014/chart" uri="{C3380CC4-5D6E-409C-BE32-E72D297353CC}">
              <c16:uniqueId val="{00000000-B5F9-42CB-A2C4-045F84340DD2}"/>
            </c:ext>
          </c:extLst>
        </c:ser>
        <c:ser>
          <c:idx val="1"/>
          <c:order val="1"/>
          <c:tx>
            <c:strRef>
              <c:f>'[1]Scatter Chart'!$E$4</c:f>
              <c:strCache>
                <c:ptCount val="1"/>
                <c:pt idx="0">
                  <c:v>Duration</c:v>
                </c:pt>
              </c:strCache>
            </c:strRef>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1"/>
          <c:extLst>
            <c:ext xmlns:c16="http://schemas.microsoft.com/office/drawing/2014/chart" uri="{C3380CC4-5D6E-409C-BE32-E72D297353CC}">
              <c16:uniqueId val="{00000001-B5F9-42CB-A2C4-045F84340DD2}"/>
            </c:ext>
          </c:extLst>
        </c:ser>
        <c:ser>
          <c:idx val="2"/>
          <c:order val="2"/>
          <c:tx>
            <c:strRef>
              <c:f>'[1]Scatter Chart'!$E$5</c:f>
              <c:strCache>
                <c:ptCount val="1"/>
                <c:pt idx="0">
                  <c:v>Expect</c:v>
                </c:pt>
              </c:strCache>
            </c:strRef>
          </c:tx>
          <c:spPr>
            <a:ln w="95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1"/>
          <c:extLst>
            <c:ext xmlns:c16="http://schemas.microsoft.com/office/drawing/2014/chart" uri="{C3380CC4-5D6E-409C-BE32-E72D297353CC}">
              <c16:uniqueId val="{00000002-B5F9-42CB-A2C4-045F84340DD2}"/>
            </c:ext>
          </c:extLst>
        </c:ser>
        <c:ser>
          <c:idx val="3"/>
          <c:order val="3"/>
          <c:spPr>
            <a:ln w="95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'[1]Scatter Chart'!$A$2:$A$41</c:f>
              <c:numCache>
                <c:formatCode>General</c:formatCode>
                <c:ptCount val="40"/>
                <c:pt idx="0">
                  <c:v>0</c:v>
                </c:pt>
                <c:pt idx="1">
                  <c:v>0</c:v>
                </c:pt>
                <c:pt idx="2">
                  <c:v>1</c:v>
                </c:pt>
                <c:pt idx="3">
                  <c:v>1</c:v>
                </c:pt>
                <c:pt idx="4">
                  <c:v>0</c:v>
                </c:pt>
                <c:pt idx="5">
                  <c:v>0</c:v>
                </c:pt>
                <c:pt idx="6">
                  <c:v>0</c:v>
                </c:pt>
                <c:pt idx="7">
                  <c:v>1</c:v>
                </c:pt>
                <c:pt idx="8">
                  <c:v>1</c:v>
                </c:pt>
                <c:pt idx="9">
                  <c:v>1</c:v>
                </c:pt>
                <c:pt idx="10">
                  <c:v>0</c:v>
                </c:pt>
                <c:pt idx="11">
                  <c:v>1</c:v>
                </c:pt>
                <c:pt idx="12">
                  <c:v>0</c:v>
                </c:pt>
                <c:pt idx="13">
                  <c:v>0</c:v>
                </c:pt>
                <c:pt idx="14">
                  <c:v>0</c:v>
                </c:pt>
                <c:pt idx="15">
                  <c:v>1</c:v>
                </c:pt>
                <c:pt idx="16">
                  <c:v>0</c:v>
                </c:pt>
                <c:pt idx="17">
                  <c:v>1</c:v>
                </c:pt>
                <c:pt idx="18">
                  <c:v>1</c:v>
                </c:pt>
                <c:pt idx="19">
                  <c:v>1</c:v>
                </c:pt>
                <c:pt idx="20">
                  <c:v>1</c:v>
                </c:pt>
                <c:pt idx="21">
                  <c:v>0</c:v>
                </c:pt>
                <c:pt idx="22">
                  <c:v>1</c:v>
                </c:pt>
                <c:pt idx="23">
                  <c:v>1</c:v>
                </c:pt>
                <c:pt idx="24">
                  <c:v>0</c:v>
                </c:pt>
                <c:pt idx="25">
                  <c:v>0</c:v>
                </c:pt>
                <c:pt idx="26">
                  <c:v>1</c:v>
                </c:pt>
                <c:pt idx="27">
                  <c:v>1</c:v>
                </c:pt>
                <c:pt idx="28">
                  <c:v>1</c:v>
                </c:pt>
                <c:pt idx="29">
                  <c:v>0</c:v>
                </c:pt>
                <c:pt idx="30">
                  <c:v>1</c:v>
                </c:pt>
                <c:pt idx="31">
                  <c:v>0</c:v>
                </c:pt>
                <c:pt idx="32">
                  <c:v>1</c:v>
                </c:pt>
                <c:pt idx="33">
                  <c:v>1</c:v>
                </c:pt>
                <c:pt idx="34">
                  <c:v>1</c:v>
                </c:pt>
                <c:pt idx="35">
                  <c:v>1</c:v>
                </c:pt>
                <c:pt idx="36">
                  <c:v>1</c:v>
                </c:pt>
                <c:pt idx="37">
                  <c:v>1</c:v>
                </c:pt>
                <c:pt idx="38">
                  <c:v>1</c:v>
                </c:pt>
                <c:pt idx="39">
                  <c:v>1</c:v>
                </c:pt>
              </c:numCache>
            </c:numRef>
          </c:xVal>
          <c:yVal>
            <c:numRef>
              <c:f>'[1]Scatter Chart'!$C$2:$C$41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1"/>
          <c:extLst>
            <c:ext xmlns:c16="http://schemas.microsoft.com/office/drawing/2014/chart" uri="{C3380CC4-5D6E-409C-BE32-E72D297353CC}">
              <c16:uniqueId val="{00000003-B5F9-42CB-A2C4-045F84340DD2}"/>
            </c:ext>
          </c:extLst>
        </c:ser>
        <c:dLbls>
          <c:showLegendKey val="0"/>
          <c:showVal val="0"/>
          <c:showCatName val="0"/>
          <c:showSerName val="0"/>
          <c:showPercent val="0"/>
          <c:showBubbleSize val="0"/>
        </c:dLbls>
        <c:axId val="1332102415"/>
        <c:axId val="1332102895"/>
      </c:scatterChart>
      <c:valAx>
        <c:axId val="133210241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Gender</a:t>
                </a:r>
              </a:p>
            </c:rich>
          </c:tx>
          <c:layout>
            <c:manualLayout>
              <c:xMode val="edge"/>
              <c:yMode val="edge"/>
              <c:x val="0.45028477690288721"/>
              <c:y val="0.800554826480023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2102895"/>
        <c:crosses val="autoZero"/>
        <c:crossBetween val="midCat"/>
      </c:valAx>
      <c:valAx>
        <c:axId val="13321028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Expect</a:t>
                </a:r>
              </a:p>
            </c:rich>
          </c:tx>
          <c:layout>
            <c:manualLayout>
              <c:xMode val="edge"/>
              <c:yMode val="edge"/>
              <c:x val="1.3888888888888888E-2"/>
              <c:y val="0.3995166229221347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21024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0800000" sx="101000" sy="101000" algn="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Investment Duration Vs Participants' Expectations</a:t>
            </a:r>
          </a:p>
        </c:rich>
      </c:tx>
      <c:layout>
        <c:manualLayout>
          <c:xMode val="edge"/>
          <c:yMode val="edge"/>
          <c:x val="0.20868496362672356"/>
          <c:y val="2.828708525154998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6.5255205709073061E-2"/>
          <c:y val="0.13634116192830656"/>
          <c:w val="0.91266198375140373"/>
          <c:h val="0.73920461734619392"/>
        </c:manualLayout>
      </c:layout>
      <c:bubbleChart>
        <c:varyColors val="0"/>
        <c:ser>
          <c:idx val="0"/>
          <c:order val="0"/>
          <c:spPr>
            <a:noFill/>
            <a:ln>
              <a:solidFill>
                <a:schemeClr val="accent1"/>
              </a:solidFill>
            </a:ln>
            <a:effectLst>
              <a:glow rad="63500">
                <a:schemeClr val="accent1">
                  <a:alpha val="18000"/>
                </a:schemeClr>
              </a:glow>
            </a:effectLst>
          </c:spPr>
          <c:invertIfNegative val="0"/>
          <c:xVal>
            <c:strRef>
              <c:f>'[1]Bubble Chart'!$A$1:$A$41</c:f>
              <c:strCache>
                <c:ptCount val="41"/>
                <c:pt idx="0">
                  <c:v>Gender</c:v>
                </c:pt>
                <c:pt idx="1">
                  <c:v>0</c:v>
                </c:pt>
                <c:pt idx="2">
                  <c:v>0</c:v>
                </c:pt>
                <c:pt idx="3">
                  <c:v>1</c:v>
                </c:pt>
                <c:pt idx="4">
                  <c:v>1</c:v>
                </c:pt>
                <c:pt idx="5">
                  <c:v>0</c:v>
                </c:pt>
                <c:pt idx="6">
                  <c:v>0</c:v>
                </c:pt>
                <c:pt idx="7">
                  <c:v>0</c:v>
                </c:pt>
                <c:pt idx="8">
                  <c:v>1</c:v>
                </c:pt>
                <c:pt idx="9">
                  <c:v>1</c:v>
                </c:pt>
                <c:pt idx="10">
                  <c:v>1</c:v>
                </c:pt>
                <c:pt idx="11">
                  <c:v>0</c:v>
                </c:pt>
                <c:pt idx="12">
                  <c:v>1</c:v>
                </c:pt>
                <c:pt idx="13">
                  <c:v>0</c:v>
                </c:pt>
                <c:pt idx="14">
                  <c:v>0</c:v>
                </c:pt>
                <c:pt idx="15">
                  <c:v>0</c:v>
                </c:pt>
                <c:pt idx="16">
                  <c:v>1</c:v>
                </c:pt>
                <c:pt idx="17">
                  <c:v>0</c:v>
                </c:pt>
                <c:pt idx="18">
                  <c:v>1</c:v>
                </c:pt>
                <c:pt idx="19">
                  <c:v>1</c:v>
                </c:pt>
                <c:pt idx="20">
                  <c:v>1</c:v>
                </c:pt>
                <c:pt idx="21">
                  <c:v>1</c:v>
                </c:pt>
                <c:pt idx="22">
                  <c:v>0</c:v>
                </c:pt>
                <c:pt idx="23">
                  <c:v>1</c:v>
                </c:pt>
                <c:pt idx="24">
                  <c:v>1</c:v>
                </c:pt>
                <c:pt idx="25">
                  <c:v>0</c:v>
                </c:pt>
                <c:pt idx="26">
                  <c:v>0</c:v>
                </c:pt>
                <c:pt idx="27">
                  <c:v>1</c:v>
                </c:pt>
                <c:pt idx="28">
                  <c:v>1</c:v>
                </c:pt>
                <c:pt idx="29">
                  <c:v>1</c:v>
                </c:pt>
                <c:pt idx="30">
                  <c:v>0</c:v>
                </c:pt>
                <c:pt idx="31">
                  <c:v>1</c:v>
                </c:pt>
                <c:pt idx="32">
                  <c:v>0</c:v>
                </c:pt>
                <c:pt idx="33">
                  <c:v>1</c:v>
                </c:pt>
                <c:pt idx="34">
                  <c:v>1</c:v>
                </c:pt>
                <c:pt idx="35">
                  <c:v>1</c:v>
                </c:pt>
                <c:pt idx="36">
                  <c:v>1</c:v>
                </c:pt>
                <c:pt idx="37">
                  <c:v>1</c:v>
                </c:pt>
                <c:pt idx="38">
                  <c:v>1</c:v>
                </c:pt>
                <c:pt idx="39">
                  <c:v>1</c:v>
                </c:pt>
                <c:pt idx="40">
                  <c:v>1</c:v>
                </c:pt>
              </c:strCache>
            </c:strRef>
          </c:xVal>
          <c:yVal>
            <c:numRef>
              <c:f>'[1]Bubble Chart'!$B$1:$B$41</c:f>
              <c:numCache>
                <c:formatCode>General</c:formatCode>
                <c:ptCount val="41"/>
                <c:pt idx="0">
                  <c:v>0</c:v>
                </c:pt>
                <c:pt idx="1">
                  <c:v>2</c:v>
                </c:pt>
                <c:pt idx="2">
                  <c:v>6</c:v>
                </c:pt>
                <c:pt idx="3">
                  <c:v>4</c:v>
                </c:pt>
                <c:pt idx="4">
                  <c:v>0.5</c:v>
                </c:pt>
                <c:pt idx="5">
                  <c:v>0.5</c:v>
                </c:pt>
                <c:pt idx="6">
                  <c:v>2</c:v>
                </c:pt>
                <c:pt idx="7">
                  <c:v>4</c:v>
                </c:pt>
                <c:pt idx="8">
                  <c:v>4</c:v>
                </c:pt>
                <c:pt idx="9">
                  <c:v>2</c:v>
                </c:pt>
                <c:pt idx="10">
                  <c:v>4</c:v>
                </c:pt>
                <c:pt idx="11">
                  <c:v>4</c:v>
                </c:pt>
                <c:pt idx="12">
                  <c:v>2</c:v>
                </c:pt>
                <c:pt idx="13">
                  <c:v>2</c:v>
                </c:pt>
                <c:pt idx="14">
                  <c:v>2</c:v>
                </c:pt>
                <c:pt idx="15">
                  <c:v>2</c:v>
                </c:pt>
                <c:pt idx="16">
                  <c:v>2</c:v>
                </c:pt>
                <c:pt idx="17">
                  <c:v>2</c:v>
                </c:pt>
                <c:pt idx="18">
                  <c:v>2</c:v>
                </c:pt>
                <c:pt idx="19">
                  <c:v>2</c:v>
                </c:pt>
                <c:pt idx="20">
                  <c:v>4</c:v>
                </c:pt>
                <c:pt idx="21">
                  <c:v>4</c:v>
                </c:pt>
                <c:pt idx="22">
                  <c:v>4</c:v>
                </c:pt>
                <c:pt idx="23">
                  <c:v>4</c:v>
                </c:pt>
                <c:pt idx="24">
                  <c:v>4</c:v>
                </c:pt>
                <c:pt idx="25">
                  <c:v>4</c:v>
                </c:pt>
                <c:pt idx="26">
                  <c:v>4</c:v>
                </c:pt>
                <c:pt idx="27">
                  <c:v>4</c:v>
                </c:pt>
                <c:pt idx="28">
                  <c:v>2</c:v>
                </c:pt>
                <c:pt idx="29">
                  <c:v>2</c:v>
                </c:pt>
                <c:pt idx="30">
                  <c:v>4</c:v>
                </c:pt>
                <c:pt idx="31">
                  <c:v>2</c:v>
                </c:pt>
                <c:pt idx="32">
                  <c:v>4</c:v>
                </c:pt>
                <c:pt idx="33">
                  <c:v>4</c:v>
                </c:pt>
                <c:pt idx="34">
                  <c:v>2</c:v>
                </c:pt>
                <c:pt idx="35">
                  <c:v>2</c:v>
                </c:pt>
                <c:pt idx="36">
                  <c:v>4</c:v>
                </c:pt>
                <c:pt idx="37">
                  <c:v>2</c:v>
                </c:pt>
                <c:pt idx="38">
                  <c:v>4</c:v>
                </c:pt>
                <c:pt idx="39">
                  <c:v>2</c:v>
                </c:pt>
                <c:pt idx="40">
                  <c:v>4</c:v>
                </c:pt>
              </c:numCache>
            </c:numRef>
          </c:yVal>
          <c:bubbleSize>
            <c:numRef>
              <c:f>'[1]Bubble Chart'!$C$1:$C$41</c:f>
              <c:numCache>
                <c:formatCode>General</c:formatCode>
                <c:ptCount val="41"/>
                <c:pt idx="0">
                  <c:v>0</c:v>
                </c:pt>
                <c:pt idx="1">
                  <c:v>25</c:v>
                </c:pt>
                <c:pt idx="2">
                  <c:v>25</c:v>
                </c:pt>
                <c:pt idx="3">
                  <c:v>25</c:v>
                </c:pt>
                <c:pt idx="4">
                  <c:v>15</c:v>
                </c:pt>
                <c:pt idx="5">
                  <c:v>25</c:v>
                </c:pt>
                <c:pt idx="6">
                  <c:v>35</c:v>
                </c:pt>
                <c:pt idx="7">
                  <c:v>25</c:v>
                </c:pt>
                <c:pt idx="8">
                  <c:v>25</c:v>
                </c:pt>
                <c:pt idx="9">
                  <c:v>25</c:v>
                </c:pt>
                <c:pt idx="10">
                  <c:v>35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35</c:v>
                </c:pt>
                <c:pt idx="26">
                  <c:v>25</c:v>
                </c:pt>
                <c:pt idx="27">
                  <c:v>25</c:v>
                </c:pt>
                <c:pt idx="28">
                  <c:v>25</c:v>
                </c:pt>
                <c:pt idx="29">
                  <c:v>25</c:v>
                </c:pt>
                <c:pt idx="30">
                  <c:v>15</c:v>
                </c:pt>
                <c:pt idx="31">
                  <c:v>15</c:v>
                </c:pt>
                <c:pt idx="32">
                  <c:v>25</c:v>
                </c:pt>
                <c:pt idx="33">
                  <c:v>35</c:v>
                </c:pt>
                <c:pt idx="34">
                  <c:v>25</c:v>
                </c:pt>
                <c:pt idx="35">
                  <c:v>25</c:v>
                </c:pt>
                <c:pt idx="36">
                  <c:v>25</c:v>
                </c:pt>
                <c:pt idx="37">
                  <c:v>25</c:v>
                </c:pt>
                <c:pt idx="38">
                  <c:v>35</c:v>
                </c:pt>
                <c:pt idx="39">
                  <c:v>25</c:v>
                </c:pt>
                <c:pt idx="40">
                  <c:v>25</c:v>
                </c:pt>
              </c:numCache>
            </c:numRef>
          </c:bubbleSize>
          <c:bubble3D val="0"/>
          <c:extLst>
            <c:ext xmlns:c16="http://schemas.microsoft.com/office/drawing/2014/chart" uri="{C3380CC4-5D6E-409C-BE32-E72D297353CC}">
              <c16:uniqueId val="{00000000-8B51-4CAE-BAC1-CDB0ECEBAEE8}"/>
            </c:ext>
          </c:extLst>
        </c:ser>
        <c:dLbls>
          <c:showLegendKey val="0"/>
          <c:showVal val="0"/>
          <c:showCatName val="0"/>
          <c:showSerName val="0"/>
          <c:showPercent val="0"/>
          <c:showBubbleSize val="0"/>
        </c:dLbls>
        <c:bubbleScale val="100"/>
        <c:showNegBubbles val="0"/>
        <c:axId val="1452596272"/>
        <c:axId val="1452594352"/>
      </c:bubbleChart>
      <c:valAx>
        <c:axId val="1452596272"/>
        <c:scaling>
          <c:orientation val="minMax"/>
        </c:scaling>
        <c:delete val="0"/>
        <c:axPos val="b"/>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Investment Duration</a:t>
                </a:r>
              </a:p>
            </c:rich>
          </c:tx>
          <c:layout>
            <c:manualLayout>
              <c:xMode val="edge"/>
              <c:yMode val="edge"/>
              <c:x val="0.4285079876307808"/>
              <c:y val="0.91674891071248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2594352"/>
        <c:crosses val="autoZero"/>
        <c:crossBetween val="midCat"/>
      </c:valAx>
      <c:valAx>
        <c:axId val="1452594352"/>
        <c:scaling>
          <c:orientation val="minMax"/>
        </c:scaling>
        <c:delete val="0"/>
        <c:axPos val="l"/>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Participants' Expectations</a:t>
                </a:r>
              </a:p>
            </c:rich>
          </c:tx>
          <c:layout>
            <c:manualLayout>
              <c:xMode val="edge"/>
              <c:yMode val="edge"/>
              <c:x val="1.4638226683396068E-2"/>
              <c:y val="0.2683868162956762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25962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excel.xlsx]Doughnut Chart!PivotTable5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4"/>
        <c:spPr>
          <a:solidFill>
            <a:srgbClr val="00B050"/>
          </a:solidFill>
          <a:ln w="19050">
            <a:solidFill>
              <a:schemeClr val="lt1"/>
            </a:solidFill>
          </a:ln>
          <a:effectLst/>
        </c:spPr>
        <c:dLbl>
          <c:idx val="0"/>
          <c:layout>
            <c:manualLayout>
              <c:x val="0.25967858983241549"/>
              <c:y val="-1.907129058552194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105D20E-5393-459D-9435-812F808EB972}" type="SERIESNAME">
                  <a:rPr lang="en-US" sz="1600"/>
                  <a:pPr>
                    <a:defRPr/>
                  </a:pPr>
                  <a:t>[SERIES NAME]</a:t>
                </a:fld>
                <a:r>
                  <a:rPr lang="en-US" sz="1600" baseline="0"/>
                  <a:t>, </a:t>
                </a:r>
                <a:fld id="{6A202A3F-7BC2-4AA9-9BED-626CE9E693D9}" type="PERCENTAGE">
                  <a:rPr lang="en-US" sz="1600" baseline="0"/>
                  <a:pPr>
                    <a:defRPr/>
                  </a:pPr>
                  <a:t>[PERCENTAGE]</a:t>
                </a:fld>
                <a:endParaRPr lang="en-US" sz="160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26402743465564882"/>
                  <c:h val="0.14213789511118388"/>
                </c:manualLayout>
              </c15:layout>
              <c15:dlblFieldTable/>
              <c15:showDataLabelsRange val="0"/>
            </c:ext>
          </c:extLst>
        </c:dLbl>
      </c:pivotFmt>
      <c:pivotFmt>
        <c:idx val="15"/>
        <c:spPr>
          <a:solidFill>
            <a:schemeClr val="accent1"/>
          </a:solidFill>
          <a:ln w="19050">
            <a:solidFill>
              <a:schemeClr val="lt1"/>
            </a:solidFill>
          </a:ln>
          <a:effectLst/>
        </c:spPr>
        <c:dLbl>
          <c:idx val="0"/>
          <c:layout>
            <c:manualLayout>
              <c:x val="-0.20532645949071013"/>
              <c:y val="8.4029362783124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52564DA-93C9-4216-A670-12DF95128E72}" type="SERIESNAME">
                  <a:rPr lang="en-US" sz="1600"/>
                  <a:pPr>
                    <a:defRPr/>
                  </a:pPr>
                  <a:t>[SERIES NAME]</a:t>
                </a:fld>
                <a:r>
                  <a:rPr lang="en-US" sz="1600" baseline="0"/>
                  <a:t>, </a:t>
                </a:r>
                <a:fld id="{B6C0BEB2-CE4F-4098-8E0A-D2CA45B09306}" type="PERCENTAGE">
                  <a:rPr lang="en-US" sz="1600" baseline="0"/>
                  <a:pPr>
                    <a:defRPr/>
                  </a:pPr>
                  <a:t>[PERCENTAGE]</a:t>
                </a:fld>
                <a:endParaRPr lang="en-US" sz="160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30267896564961616"/>
                  <c:h val="0.19608009702646026"/>
                </c:manualLayout>
              </c15:layout>
              <c15:dlblFieldTable/>
              <c15:showDataLabelsRange val="0"/>
            </c:ext>
          </c:extLst>
        </c:dLbl>
      </c:pivotFmt>
      <c:pivotFmt>
        <c:idx val="16"/>
        <c:spPr>
          <a:solidFill>
            <a:schemeClr val="accent2"/>
          </a:solidFill>
          <a:ln w="19050">
            <a:solidFill>
              <a:schemeClr val="lt1"/>
            </a:solidFill>
          </a:ln>
          <a:effectLst/>
        </c:spPr>
        <c:dLbl>
          <c:idx val="0"/>
          <c:layout>
            <c:manualLayout>
              <c:x val="-0.13328685573576593"/>
              <c:y val="0.1632680247848391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6A13ED8-81F3-4C7E-BC8A-C8C7A945869F}" type="SERIESNAME">
                  <a:rPr lang="en-US" sz="1600"/>
                  <a:pPr>
                    <a:defRPr/>
                  </a:pPr>
                  <a:t>[SERIES NAME]</a:t>
                </a:fld>
                <a:r>
                  <a:rPr lang="en-US" sz="1600" baseline="0"/>
                  <a:t>, </a:t>
                </a:r>
                <a:fld id="{94B13F92-59AE-41CA-95B2-4C5BD5221015}" type="PERCENTAGE">
                  <a:rPr lang="en-US" sz="1600" baseline="0"/>
                  <a:pPr>
                    <a:defRPr/>
                  </a:pPr>
                  <a:t>[PERCENTAGE]</a:t>
                </a:fld>
                <a:endParaRPr lang="en-US" sz="160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28437805135323013"/>
                  <c:h val="0.16665707779994587"/>
                </c:manualLayout>
              </c15:layout>
              <c15:dlblFieldTable/>
              <c15:showDataLabelsRange val="0"/>
            </c:ext>
          </c:extLst>
        </c:dLbl>
      </c:pivotFmt>
    </c:pivotFmts>
    <c:plotArea>
      <c:layout>
        <c:manualLayout>
          <c:layoutTarget val="inner"/>
          <c:xMode val="edge"/>
          <c:yMode val="edge"/>
          <c:x val="0.21371577152619825"/>
          <c:y val="6.249997586694616E-2"/>
          <c:w val="0.6823742309292945"/>
          <c:h val="0.91423074056812681"/>
        </c:manualLayout>
      </c:layout>
      <c:doughnutChart>
        <c:varyColors val="1"/>
        <c:ser>
          <c:idx val="0"/>
          <c:order val="0"/>
          <c:tx>
            <c:strRef>
              <c:f>'Doughnut Chart'!$B$3</c:f>
              <c:strCache>
                <c:ptCount val="1"/>
                <c:pt idx="0">
                  <c:v>Total</c:v>
                </c:pt>
              </c:strCache>
            </c:strRef>
          </c:tx>
          <c:spPr>
            <a:solidFill>
              <a:schemeClr val="accent2"/>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44AA-4DDB-9864-D0FD5C5785F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4AA-4DDB-9864-D0FD5C5785F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44AA-4DDB-9864-D0FD5C5785F9}"/>
              </c:ext>
            </c:extLst>
          </c:dPt>
          <c:dLbls>
            <c:dLbl>
              <c:idx val="0"/>
              <c:layout>
                <c:manualLayout>
                  <c:x val="0.25967858983241549"/>
                  <c:y val="-1.907129058552194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105D20E-5393-459D-9435-812F808EB972}" type="SERIESNAME">
                      <a:rPr lang="en-US" sz="1600"/>
                      <a:pPr>
                        <a:defRPr/>
                      </a:pPr>
                      <a:t>[SERIES NAME]</a:t>
                    </a:fld>
                    <a:r>
                      <a:rPr lang="en-US" sz="1600" baseline="0"/>
                      <a:t>, </a:t>
                    </a:r>
                    <a:fld id="{6A202A3F-7BC2-4AA9-9BED-626CE9E693D9}" type="PERCENTAGE">
                      <a:rPr lang="en-US" sz="1600" baseline="0"/>
                      <a:pPr>
                        <a:defRPr/>
                      </a:pPr>
                      <a:t>[PERCENTAGE]</a:t>
                    </a:fld>
                    <a:endParaRPr lang="en-US" sz="160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26402743465564882"/>
                      <c:h val="0.14213789511118388"/>
                    </c:manualLayout>
                  </c15:layout>
                  <c15:dlblFieldTable/>
                  <c15:showDataLabelsRange val="0"/>
                </c:ext>
                <c:ext xmlns:c16="http://schemas.microsoft.com/office/drawing/2014/chart" uri="{C3380CC4-5D6E-409C-BE32-E72D297353CC}">
                  <c16:uniqueId val="{00000001-44AA-4DDB-9864-D0FD5C5785F9}"/>
                </c:ext>
              </c:extLst>
            </c:dLbl>
            <c:dLbl>
              <c:idx val="1"/>
              <c:layout>
                <c:manualLayout>
                  <c:x val="-0.20532645949071013"/>
                  <c:y val="8.4029362783124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52564DA-93C9-4216-A670-12DF95128E72}" type="SERIESNAME">
                      <a:rPr lang="en-US" sz="1600"/>
                      <a:pPr>
                        <a:defRPr/>
                      </a:pPr>
                      <a:t>[SERIES NAME]</a:t>
                    </a:fld>
                    <a:r>
                      <a:rPr lang="en-US" sz="1600" baseline="0"/>
                      <a:t>, </a:t>
                    </a:r>
                    <a:fld id="{B6C0BEB2-CE4F-4098-8E0A-D2CA45B09306}" type="PERCENTAGE">
                      <a:rPr lang="en-US" sz="1600" baseline="0"/>
                      <a:pPr>
                        <a:defRPr/>
                      </a:pPr>
                      <a:t>[PERCENTAGE]</a:t>
                    </a:fld>
                    <a:endParaRPr lang="en-US" sz="160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30267896564961616"/>
                      <c:h val="0.19608009702646026"/>
                    </c:manualLayout>
                  </c15:layout>
                  <c15:dlblFieldTable/>
                  <c15:showDataLabelsRange val="0"/>
                </c:ext>
                <c:ext xmlns:c16="http://schemas.microsoft.com/office/drawing/2014/chart" uri="{C3380CC4-5D6E-409C-BE32-E72D297353CC}">
                  <c16:uniqueId val="{00000003-44AA-4DDB-9864-D0FD5C5785F9}"/>
                </c:ext>
              </c:extLst>
            </c:dLbl>
            <c:dLbl>
              <c:idx val="2"/>
              <c:layout>
                <c:manualLayout>
                  <c:x val="-0.13328685573576593"/>
                  <c:y val="0.1632680247848391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6A13ED8-81F3-4C7E-BC8A-C8C7A945869F}" type="SERIESNAME">
                      <a:rPr lang="en-US" sz="1600"/>
                      <a:pPr>
                        <a:defRPr/>
                      </a:pPr>
                      <a:t>[SERIES NAME]</a:t>
                    </a:fld>
                    <a:r>
                      <a:rPr lang="en-US" sz="1600" baseline="0"/>
                      <a:t>, </a:t>
                    </a:r>
                    <a:fld id="{94B13F92-59AE-41CA-95B2-4C5BD5221015}" type="PERCENTAGE">
                      <a:rPr lang="en-US" sz="1600" baseline="0"/>
                      <a:pPr>
                        <a:defRPr/>
                      </a:pPr>
                      <a:t>[PERCENTAGE]</a:t>
                    </a:fld>
                    <a:endParaRPr lang="en-US" sz="160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28437805135323013"/>
                      <c:h val="0.16665707779994587"/>
                    </c:manualLayout>
                  </c15:layout>
                  <c15:dlblFieldTable/>
                  <c15:showDataLabelsRange val="0"/>
                </c:ext>
                <c:ext xmlns:c16="http://schemas.microsoft.com/office/drawing/2014/chart" uri="{C3380CC4-5D6E-409C-BE32-E72D297353CC}">
                  <c16:uniqueId val="{00000005-44AA-4DDB-9864-D0FD5C5785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extLst>
          </c:dLbls>
          <c:cat>
            <c:strRef>
              <c:f>'Doughnut Chart'!$A$4:$A$7</c:f>
              <c:strCache>
                <c:ptCount val="3"/>
                <c:pt idx="0">
                  <c:v>Education</c:v>
                </c:pt>
                <c:pt idx="1">
                  <c:v>Health Care</c:v>
                </c:pt>
                <c:pt idx="2">
                  <c:v>Retirement Plan</c:v>
                </c:pt>
              </c:strCache>
            </c:strRef>
          </c:cat>
          <c:val>
            <c:numRef>
              <c:f>'Doughnut Chart'!$B$4:$B$7</c:f>
              <c:numCache>
                <c:formatCode>General</c:formatCode>
                <c:ptCount val="3"/>
                <c:pt idx="0">
                  <c:v>3</c:v>
                </c:pt>
                <c:pt idx="1">
                  <c:v>13</c:v>
                </c:pt>
                <c:pt idx="2">
                  <c:v>24</c:v>
                </c:pt>
              </c:numCache>
            </c:numRef>
          </c:val>
          <c:extLst>
            <c:ext xmlns:c16="http://schemas.microsoft.com/office/drawing/2014/chart" uri="{C3380CC4-5D6E-409C-BE32-E72D297353CC}">
              <c16:uniqueId val="{00000006-44AA-4DDB-9864-D0FD5C5785F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excel.xlsx]Gender distribution!PivotTable1</c:name>
    <c:fmtId val="12"/>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6.2036019771182171E-2"/>
              <c:y val="-0.1256009813498418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83599"/>
                    <a:gd name="adj2" fmla="val 195547"/>
                  </a:avLst>
                </a:prstGeom>
                <a:noFill/>
                <a:ln>
                  <a:noFill/>
                </a:ln>
              </c15:spPr>
              <c15:layout>
                <c:manualLayout>
                  <c:w val="0.17018898070333513"/>
                  <c:h val="0.15078225172595075"/>
                </c:manualLayout>
              </c15:layout>
            </c:ext>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8.8623084764421711E-2"/>
              <c:y val="0.25340531518229409"/>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691D218B-CBFC-45CF-AB6C-7F5A1CCB97D7}" type="CATEGORYNAME">
                  <a:rPr lang="en-US"/>
                  <a:pPr>
                    <a:defRPr/>
                  </a:pPr>
                  <a:t>[CATEGORY NAME]</a:t>
                </a:fld>
                <a:r>
                  <a:rPr lang="en-US" baseline="0"/>
                  <a:t>
</a:t>
                </a:r>
                <a:fld id="{F3242093-8622-4836-B409-ACEE23E52EA5}" type="PERCENTAGE">
                  <a:rPr lang="en-US" baseline="0"/>
                  <a:pPr>
                    <a:defRPr/>
                  </a:pPr>
                  <a:t>[PERCENTAGE]</a:t>
                </a:fld>
                <a:endParaRPr lang="en-US" baseline="0"/>
              </a:p>
            </c:rich>
          </c:tx>
          <c:spPr>
            <a:xfrm>
              <a:off x="317499" y="2158866"/>
              <a:ext cx="1062595" cy="56151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9645"/>
                    <a:gd name="adj2" fmla="val -160868"/>
                  </a:avLst>
                </a:prstGeom>
                <a:noFill/>
                <a:ln>
                  <a:noFill/>
                </a:ln>
              </c15:spPr>
              <c15:layout>
                <c:manualLayout>
                  <c:w val="0.29659983230000214"/>
                  <c:h val="0.19485277149782507"/>
                </c:manualLayout>
              </c15:layout>
              <c15:dlblFieldTable/>
              <c15:showDataLabelsRange val="0"/>
            </c:ext>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606400736004253E-2"/>
          <c:y val="8.4695904738274916E-2"/>
          <c:w val="0.89542224782754809"/>
          <c:h val="0.75938780148833429"/>
        </c:manualLayout>
      </c:layout>
      <c:pie3DChart>
        <c:varyColors val="1"/>
        <c:ser>
          <c:idx val="0"/>
          <c:order val="0"/>
          <c:tx>
            <c:strRef>
              <c:f>'Gender distribution'!$B$3</c:f>
              <c:strCache>
                <c:ptCount val="1"/>
                <c:pt idx="0">
                  <c:v>Count of gender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BA-46D8-B082-FE599D8E77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BA-46D8-B082-FE599D8E7760}"/>
              </c:ext>
            </c:extLst>
          </c:dPt>
          <c:dLbls>
            <c:dLbl>
              <c:idx val="0"/>
              <c:layout>
                <c:manualLayout>
                  <c:x val="-6.2036019771182171E-2"/>
                  <c:y val="-0.1256009813498418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83599"/>
                        <a:gd name="adj2" fmla="val 195547"/>
                      </a:avLst>
                    </a:prstGeom>
                    <a:noFill/>
                    <a:ln>
                      <a:noFill/>
                    </a:ln>
                  </c15:spPr>
                  <c15:layout>
                    <c:manualLayout>
                      <c:w val="0.17018898070333513"/>
                      <c:h val="0.15078225172595075"/>
                    </c:manualLayout>
                  </c15:layout>
                </c:ext>
                <c:ext xmlns:c16="http://schemas.microsoft.com/office/drawing/2014/chart" uri="{C3380CC4-5D6E-409C-BE32-E72D297353CC}">
                  <c16:uniqueId val="{00000001-59BA-46D8-B082-FE599D8E7760}"/>
                </c:ext>
              </c:extLst>
            </c:dLbl>
            <c:dLbl>
              <c:idx val="1"/>
              <c:layout>
                <c:manualLayout>
                  <c:x val="8.8623084764421711E-2"/>
                  <c:y val="0.25340531518229409"/>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691D218B-CBFC-45CF-AB6C-7F5A1CCB97D7}" type="CATEGORYNAME">
                      <a:rPr lang="en-US"/>
                      <a:pPr>
                        <a:defRPr/>
                      </a:pPr>
                      <a:t>[CATEGORY NAME]</a:t>
                    </a:fld>
                    <a:r>
                      <a:rPr lang="en-US" baseline="0"/>
                      <a:t>
</a:t>
                    </a:r>
                    <a:fld id="{F3242093-8622-4836-B409-ACEE23E52EA5}" type="PERCENTAGE">
                      <a:rPr lang="en-US" baseline="0"/>
                      <a:pPr>
                        <a:defRPr/>
                      </a:pPr>
                      <a:t>[PERCENTAGE]</a:t>
                    </a:fld>
                    <a:endParaRPr lang="en-US" baseline="0"/>
                  </a:p>
                </c:rich>
              </c:tx>
              <c:spPr>
                <a:xfrm>
                  <a:off x="317499" y="2158866"/>
                  <a:ext cx="1062595" cy="56151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9645"/>
                        <a:gd name="adj2" fmla="val -160868"/>
                      </a:avLst>
                    </a:prstGeom>
                    <a:noFill/>
                    <a:ln>
                      <a:noFill/>
                    </a:ln>
                  </c15:spPr>
                  <c15:layout>
                    <c:manualLayout>
                      <c:w val="0.29659983230000214"/>
                      <c:h val="0.19485277149782507"/>
                    </c:manualLayout>
                  </c15:layout>
                  <c15:dlblFieldTable/>
                  <c15:showDataLabelsRange val="0"/>
                </c:ext>
                <c:ext xmlns:c16="http://schemas.microsoft.com/office/drawing/2014/chart" uri="{C3380CC4-5D6E-409C-BE32-E72D297353CC}">
                  <c16:uniqueId val="{00000003-59BA-46D8-B082-FE599D8E776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distribution'!$A$4:$A$6</c:f>
              <c:strCache>
                <c:ptCount val="2"/>
                <c:pt idx="0">
                  <c:v>Female</c:v>
                </c:pt>
                <c:pt idx="1">
                  <c:v>Male</c:v>
                </c:pt>
              </c:strCache>
            </c:strRef>
          </c:cat>
          <c:val>
            <c:numRef>
              <c:f>'Gender distribution'!$B$4:$B$6</c:f>
              <c:numCache>
                <c:formatCode>General</c:formatCode>
                <c:ptCount val="2"/>
                <c:pt idx="0">
                  <c:v>15</c:v>
                </c:pt>
                <c:pt idx="1">
                  <c:v>25</c:v>
                </c:pt>
              </c:numCache>
            </c:numRef>
          </c:val>
          <c:extLst>
            <c:ext xmlns:c16="http://schemas.microsoft.com/office/drawing/2014/chart" uri="{C3380CC4-5D6E-409C-BE32-E72D297353CC}">
              <c16:uniqueId val="{00000004-59BA-46D8-B082-FE599D8E7760}"/>
            </c:ext>
          </c:extLst>
        </c:ser>
        <c:ser>
          <c:idx val="1"/>
          <c:order val="1"/>
          <c:tx>
            <c:strRef>
              <c:f>'Gender distribution'!$C$3</c:f>
              <c:strCache>
                <c:ptCount val="1"/>
                <c:pt idx="0">
                  <c:v>Percentage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59BA-46D8-B082-FE599D8E77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59BA-46D8-B082-FE599D8E77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distribution'!$A$4:$A$6</c:f>
              <c:strCache>
                <c:ptCount val="2"/>
                <c:pt idx="0">
                  <c:v>Female</c:v>
                </c:pt>
                <c:pt idx="1">
                  <c:v>Male</c:v>
                </c:pt>
              </c:strCache>
            </c:strRef>
          </c:cat>
          <c:val>
            <c:numRef>
              <c:f>'Gender distribution'!$C$4:$C$6</c:f>
              <c:numCache>
                <c:formatCode>0.00%</c:formatCode>
                <c:ptCount val="2"/>
                <c:pt idx="0">
                  <c:v>0.375</c:v>
                </c:pt>
                <c:pt idx="1">
                  <c:v>0.625</c:v>
                </c:pt>
              </c:numCache>
            </c:numRef>
          </c:val>
          <c:extLst>
            <c:ext xmlns:c16="http://schemas.microsoft.com/office/drawing/2014/chart" uri="{C3380CC4-5D6E-409C-BE32-E72D297353CC}">
              <c16:uniqueId val="{00000009-59BA-46D8-B082-FE599D8E7760}"/>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excel.xlsx]Bar Chart!PivotTable2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860073206841554E-2"/>
          <c:y val="9.2478268134663949E-2"/>
          <c:w val="0.86298662667166604"/>
          <c:h val="0.81715826518469759"/>
        </c:manualLayout>
      </c:layout>
      <c:barChart>
        <c:barDir val="bar"/>
        <c:grouping val="clustered"/>
        <c:varyColors val="0"/>
        <c:ser>
          <c:idx val="0"/>
          <c:order val="0"/>
          <c:tx>
            <c:strRef>
              <c:f>'Bar Chart'!$B$3:$B$4</c:f>
              <c:strCache>
                <c:ptCount val="1"/>
                <c:pt idx="0">
                  <c:v>21-25</c:v>
                </c:pt>
              </c:strCache>
            </c:strRef>
          </c:tx>
          <c:spPr>
            <a:solidFill>
              <a:schemeClr val="accent1"/>
            </a:solidFill>
            <a:ln>
              <a:noFill/>
            </a:ln>
            <a:effectLst/>
          </c:spPr>
          <c:invertIfNegative val="0"/>
          <c:cat>
            <c:strRef>
              <c:f>'Bar Chart'!$A$5:$A$7</c:f>
              <c:strCache>
                <c:ptCount val="2"/>
                <c:pt idx="0">
                  <c:v>Yes</c:v>
                </c:pt>
                <c:pt idx="1">
                  <c:v>No</c:v>
                </c:pt>
              </c:strCache>
            </c:strRef>
          </c:cat>
          <c:val>
            <c:numRef>
              <c:f>'Bar Chart'!$B$5:$B$7</c:f>
              <c:numCache>
                <c:formatCode>General</c:formatCode>
                <c:ptCount val="2"/>
                <c:pt idx="0">
                  <c:v>7</c:v>
                </c:pt>
                <c:pt idx="1">
                  <c:v>3</c:v>
                </c:pt>
              </c:numCache>
            </c:numRef>
          </c:val>
          <c:extLst>
            <c:ext xmlns:c16="http://schemas.microsoft.com/office/drawing/2014/chart" uri="{C3380CC4-5D6E-409C-BE32-E72D297353CC}">
              <c16:uniqueId val="{00000000-4485-41F9-A249-C40A10011F53}"/>
            </c:ext>
          </c:extLst>
        </c:ser>
        <c:ser>
          <c:idx val="1"/>
          <c:order val="1"/>
          <c:tx>
            <c:strRef>
              <c:f>'Bar Chart'!$C$3:$C$4</c:f>
              <c:strCache>
                <c:ptCount val="1"/>
                <c:pt idx="0">
                  <c:v>26-30</c:v>
                </c:pt>
              </c:strCache>
            </c:strRef>
          </c:tx>
          <c:spPr>
            <a:solidFill>
              <a:schemeClr val="accent1"/>
            </a:solidFill>
            <a:ln>
              <a:noFill/>
            </a:ln>
            <a:effectLst/>
          </c:spPr>
          <c:invertIfNegative val="0"/>
          <c:cat>
            <c:strRef>
              <c:f>'Bar Chart'!$A$5:$A$7</c:f>
              <c:strCache>
                <c:ptCount val="2"/>
                <c:pt idx="0">
                  <c:v>Yes</c:v>
                </c:pt>
                <c:pt idx="1">
                  <c:v>No</c:v>
                </c:pt>
              </c:strCache>
            </c:strRef>
          </c:cat>
          <c:val>
            <c:numRef>
              <c:f>'Bar Chart'!$C$5:$C$7</c:f>
              <c:numCache>
                <c:formatCode>General</c:formatCode>
                <c:ptCount val="2"/>
                <c:pt idx="0">
                  <c:v>21</c:v>
                </c:pt>
              </c:numCache>
            </c:numRef>
          </c:val>
          <c:extLst>
            <c:ext xmlns:c16="http://schemas.microsoft.com/office/drawing/2014/chart" uri="{C3380CC4-5D6E-409C-BE32-E72D297353CC}">
              <c16:uniqueId val="{00000001-D769-4848-8C00-96573364460B}"/>
            </c:ext>
          </c:extLst>
        </c:ser>
        <c:ser>
          <c:idx val="2"/>
          <c:order val="2"/>
          <c:tx>
            <c:strRef>
              <c:f>'Bar Chart'!$D$3:$D$4</c:f>
              <c:strCache>
                <c:ptCount val="1"/>
                <c:pt idx="0">
                  <c:v>31-35</c:v>
                </c:pt>
              </c:strCache>
            </c:strRef>
          </c:tx>
          <c:spPr>
            <a:solidFill>
              <a:schemeClr val="accent1"/>
            </a:solidFill>
            <a:ln>
              <a:noFill/>
            </a:ln>
            <a:effectLst/>
          </c:spPr>
          <c:invertIfNegative val="0"/>
          <c:cat>
            <c:strRef>
              <c:f>'Bar Chart'!$A$5:$A$7</c:f>
              <c:strCache>
                <c:ptCount val="2"/>
                <c:pt idx="0">
                  <c:v>Yes</c:v>
                </c:pt>
                <c:pt idx="1">
                  <c:v>No</c:v>
                </c:pt>
              </c:strCache>
            </c:strRef>
          </c:cat>
          <c:val>
            <c:numRef>
              <c:f>'Bar Chart'!$D$5:$D$7</c:f>
              <c:numCache>
                <c:formatCode>General</c:formatCode>
                <c:ptCount val="2"/>
                <c:pt idx="0">
                  <c:v>9</c:v>
                </c:pt>
              </c:numCache>
            </c:numRef>
          </c:val>
          <c:extLst>
            <c:ext xmlns:c16="http://schemas.microsoft.com/office/drawing/2014/chart" uri="{C3380CC4-5D6E-409C-BE32-E72D297353CC}">
              <c16:uniqueId val="{00000002-D769-4848-8C00-96573364460B}"/>
            </c:ext>
          </c:extLst>
        </c:ser>
        <c:dLbls>
          <c:showLegendKey val="0"/>
          <c:showVal val="0"/>
          <c:showCatName val="0"/>
          <c:showSerName val="0"/>
          <c:showPercent val="0"/>
          <c:showBubbleSize val="0"/>
        </c:dLbls>
        <c:gapWidth val="182"/>
        <c:axId val="242530511"/>
        <c:axId val="242531951"/>
      </c:barChart>
      <c:catAx>
        <c:axId val="242530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31951"/>
        <c:crosses val="autoZero"/>
        <c:auto val="1"/>
        <c:lblAlgn val="ctr"/>
        <c:lblOffset val="100"/>
        <c:noMultiLvlLbl val="0"/>
      </c:catAx>
      <c:valAx>
        <c:axId val="24253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3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excel.xlsx]Horizonta Bar Chart!PivotTable6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2622322992193"/>
          <c:y val="8.0829803031946673E-2"/>
          <c:w val="0.57688878978018376"/>
          <c:h val="0.794715597373433"/>
        </c:manualLayout>
      </c:layout>
      <c:barChart>
        <c:barDir val="bar"/>
        <c:grouping val="clustered"/>
        <c:varyColors val="0"/>
        <c:ser>
          <c:idx val="0"/>
          <c:order val="0"/>
          <c:tx>
            <c:strRef>
              <c:f>'Horizonta Bar Chart'!$B$3</c:f>
              <c:strCache>
                <c:ptCount val="1"/>
                <c:pt idx="0">
                  <c:v>Total</c:v>
                </c:pt>
              </c:strCache>
            </c:strRef>
          </c:tx>
          <c:spPr>
            <a:solidFill>
              <a:schemeClr val="accent1"/>
            </a:solidFill>
            <a:ln>
              <a:noFill/>
            </a:ln>
            <a:effectLst/>
          </c:spPr>
          <c:invertIfNegative val="0"/>
          <c:cat>
            <c:strRef>
              <c:f>'Horizonta Bar Chart'!$A$4:$A$8</c:f>
              <c:strCache>
                <c:ptCount val="4"/>
                <c:pt idx="0">
                  <c:v>Financial Consultants</c:v>
                </c:pt>
                <c:pt idx="1">
                  <c:v>Internet</c:v>
                </c:pt>
                <c:pt idx="2">
                  <c:v>Newspapers and Magazines</c:v>
                </c:pt>
                <c:pt idx="3">
                  <c:v>Television</c:v>
                </c:pt>
              </c:strCache>
            </c:strRef>
          </c:cat>
          <c:val>
            <c:numRef>
              <c:f>'Horizonta Bar Chart'!$B$4:$B$8</c:f>
              <c:numCache>
                <c:formatCode>General</c:formatCode>
                <c:ptCount val="4"/>
                <c:pt idx="0">
                  <c:v>16</c:v>
                </c:pt>
                <c:pt idx="1">
                  <c:v>4</c:v>
                </c:pt>
                <c:pt idx="2">
                  <c:v>14</c:v>
                </c:pt>
                <c:pt idx="3">
                  <c:v>6</c:v>
                </c:pt>
              </c:numCache>
            </c:numRef>
          </c:val>
          <c:extLst>
            <c:ext xmlns:c16="http://schemas.microsoft.com/office/drawing/2014/chart" uri="{C3380CC4-5D6E-409C-BE32-E72D297353CC}">
              <c16:uniqueId val="{00000000-BC3F-4A43-A7CA-223C16ED4123}"/>
            </c:ext>
          </c:extLst>
        </c:ser>
        <c:dLbls>
          <c:showLegendKey val="0"/>
          <c:showVal val="0"/>
          <c:showCatName val="0"/>
          <c:showSerName val="0"/>
          <c:showPercent val="0"/>
          <c:showBubbleSize val="0"/>
        </c:dLbls>
        <c:gapWidth val="182"/>
        <c:axId val="242543951"/>
        <c:axId val="242527631"/>
      </c:barChart>
      <c:catAx>
        <c:axId val="242543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27631"/>
        <c:crosses val="autoZero"/>
        <c:auto val="1"/>
        <c:lblAlgn val="ctr"/>
        <c:lblOffset val="100"/>
        <c:noMultiLvlLbl val="0"/>
      </c:catAx>
      <c:valAx>
        <c:axId val="24252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4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excel.xlsx]Histogram Chart!PivotTable7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87151430014921E-2"/>
          <c:y val="7.7937649880095924E-2"/>
          <c:w val="0.90889636448026156"/>
          <c:h val="0.79545403047640628"/>
        </c:manualLayout>
      </c:layout>
      <c:barChart>
        <c:barDir val="col"/>
        <c:grouping val="clustered"/>
        <c:varyColors val="0"/>
        <c:ser>
          <c:idx val="0"/>
          <c:order val="0"/>
          <c:tx>
            <c:strRef>
              <c:f>'Histogram Chart'!$B$3</c:f>
              <c:strCache>
                <c:ptCount val="1"/>
                <c:pt idx="0">
                  <c:v>Total</c:v>
                </c:pt>
              </c:strCache>
            </c:strRef>
          </c:tx>
          <c:spPr>
            <a:solidFill>
              <a:schemeClr val="accent1"/>
            </a:solidFill>
            <a:ln>
              <a:noFill/>
            </a:ln>
            <a:effectLst/>
          </c:spPr>
          <c:invertIfNegative val="0"/>
          <c:cat>
            <c:strRef>
              <c:f>'Histogram Chart'!$A$4:$A$8</c:f>
              <c:strCache>
                <c:ptCount val="4"/>
                <c:pt idx="0">
                  <c:v>1-3 years</c:v>
                </c:pt>
                <c:pt idx="1">
                  <c:v>3-5 years</c:v>
                </c:pt>
                <c:pt idx="2">
                  <c:v>Less than 1 year</c:v>
                </c:pt>
                <c:pt idx="3">
                  <c:v>More than 5 years</c:v>
                </c:pt>
              </c:strCache>
            </c:strRef>
          </c:cat>
          <c:val>
            <c:numRef>
              <c:f>'Histogram Chart'!$B$4:$B$8</c:f>
              <c:numCache>
                <c:formatCode>General</c:formatCode>
                <c:ptCount val="4"/>
                <c:pt idx="0">
                  <c:v>18</c:v>
                </c:pt>
                <c:pt idx="1">
                  <c:v>19</c:v>
                </c:pt>
                <c:pt idx="2">
                  <c:v>2</c:v>
                </c:pt>
                <c:pt idx="3">
                  <c:v>1</c:v>
                </c:pt>
              </c:numCache>
            </c:numRef>
          </c:val>
          <c:extLst>
            <c:ext xmlns:c16="http://schemas.microsoft.com/office/drawing/2014/chart" uri="{C3380CC4-5D6E-409C-BE32-E72D297353CC}">
              <c16:uniqueId val="{00000000-1D49-4555-B435-A7B7A3617ABC}"/>
            </c:ext>
          </c:extLst>
        </c:ser>
        <c:dLbls>
          <c:showLegendKey val="0"/>
          <c:showVal val="0"/>
          <c:showCatName val="0"/>
          <c:showSerName val="0"/>
          <c:showPercent val="0"/>
          <c:showBubbleSize val="0"/>
        </c:dLbls>
        <c:gapWidth val="0"/>
        <c:overlap val="-27"/>
        <c:axId val="242492591"/>
        <c:axId val="242495951"/>
      </c:barChart>
      <c:catAx>
        <c:axId val="2424925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495951"/>
        <c:crosses val="autoZero"/>
        <c:auto val="1"/>
        <c:lblAlgn val="ctr"/>
        <c:lblOffset val="100"/>
        <c:noMultiLvlLbl val="0"/>
      </c:catAx>
      <c:valAx>
        <c:axId val="24249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49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161607528877947E-2"/>
          <c:y val="4.5288900718106255E-2"/>
          <c:w val="0.94602470190914922"/>
          <c:h val="0.90942219856378748"/>
        </c:manualLayout>
      </c:layout>
      <c:scatterChart>
        <c:scatterStyle val="lineMarker"/>
        <c:varyColors val="0"/>
        <c:ser>
          <c:idx val="0"/>
          <c:order val="0"/>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0"/>
          <c:extLst>
            <c:ext xmlns:c15="http://schemas.microsoft.com/office/drawing/2012/chart" uri="{02D57815-91ED-43cb-92C2-25804820EDAC}">
              <c15:filteredSeriesTitle>
                <c15:tx>
                  <c:strRef>
                    <c:extLst>
                      <c:ext uri="{02D57815-91ED-43cb-92C2-25804820EDAC}">
                        <c15:formulaRef>
                          <c15:sqref>'[1]Scatter Chart'!$E$3</c15:sqref>
                        </c15:formulaRef>
                      </c:ext>
                    </c:extLst>
                    <c:strCache>
                      <c:ptCount val="1"/>
                      <c:pt idx="0">
                        <c:v>Gender</c:v>
                      </c:pt>
                    </c:strCache>
                  </c:strRef>
                </c15:tx>
              </c15:filteredSeriesTitle>
            </c:ext>
            <c:ext xmlns:c16="http://schemas.microsoft.com/office/drawing/2014/chart" uri="{C3380CC4-5D6E-409C-BE32-E72D297353CC}">
              <c16:uniqueId val="{00000000-8959-422B-ABE2-787905077700}"/>
            </c:ext>
          </c:extLst>
        </c:ser>
        <c:ser>
          <c:idx val="1"/>
          <c:order val="1"/>
          <c:spPr>
            <a:ln w="28575">
              <a:solidFill>
                <a:schemeClr val="accent2">
                  <a:alpha val="20000"/>
                </a:schemeClr>
              </a:solidFill>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0"/>
          <c:extLst>
            <c:ext xmlns:c15="http://schemas.microsoft.com/office/drawing/2012/chart" uri="{02D57815-91ED-43cb-92C2-25804820EDAC}">
              <c15:filteredSeriesTitle>
                <c15:tx>
                  <c:strRef>
                    <c:extLst>
                      <c:ext uri="{02D57815-91ED-43cb-92C2-25804820EDAC}">
                        <c15:formulaRef>
                          <c15:sqref>'[1]Scatter Chart'!$E$4</c15:sqref>
                        </c15:formulaRef>
                      </c:ext>
                    </c:extLst>
                    <c:strCache>
                      <c:ptCount val="1"/>
                      <c:pt idx="0">
                        <c:v>Duration</c:v>
                      </c:pt>
                    </c:strCache>
                  </c:strRef>
                </c15:tx>
              </c15:filteredSeriesTitle>
            </c:ext>
            <c:ext xmlns:c16="http://schemas.microsoft.com/office/drawing/2014/chart" uri="{C3380CC4-5D6E-409C-BE32-E72D297353CC}">
              <c16:uniqueId val="{00000001-8959-422B-ABE2-787905077700}"/>
            </c:ext>
          </c:extLst>
        </c:ser>
        <c:ser>
          <c:idx val="2"/>
          <c:order val="2"/>
          <c:spPr>
            <a:ln w="28575">
              <a:solidFill>
                <a:schemeClr val="accent3">
                  <a:alpha val="20000"/>
                </a:schemeClr>
              </a:solidFill>
            </a:ln>
            <a:effectLst/>
          </c:spPr>
          <c:marker>
            <c:symbol val="circle"/>
            <c:size val="4"/>
            <c:spPr>
              <a:solidFill>
                <a:schemeClr val="accent3"/>
              </a:solidFill>
              <a:ln w="9525" cap="flat" cmpd="sng" algn="ctr">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0"/>
          <c:extLst>
            <c:ext xmlns:c15="http://schemas.microsoft.com/office/drawing/2012/chart" uri="{02D57815-91ED-43cb-92C2-25804820EDAC}">
              <c15:filteredSeriesTitle>
                <c15:tx>
                  <c:strRef>
                    <c:extLst>
                      <c:ext uri="{02D57815-91ED-43cb-92C2-25804820EDAC}">
                        <c15:formulaRef>
                          <c15:sqref>'[1]Scatter Chart'!$E$5</c15:sqref>
                        </c15:formulaRef>
                      </c:ext>
                    </c:extLst>
                    <c:strCache>
                      <c:ptCount val="1"/>
                      <c:pt idx="0">
                        <c:v>Expect</c:v>
                      </c:pt>
                    </c:strCache>
                  </c:strRef>
                </c15:tx>
              </c15:filteredSeriesTitle>
            </c:ext>
            <c:ext xmlns:c16="http://schemas.microsoft.com/office/drawing/2014/chart" uri="{C3380CC4-5D6E-409C-BE32-E72D297353CC}">
              <c16:uniqueId val="{00000002-8959-422B-ABE2-787905077700}"/>
            </c:ext>
          </c:extLst>
        </c:ser>
        <c:ser>
          <c:idx val="3"/>
          <c:order val="3"/>
          <c:spPr>
            <a:ln w="28575">
              <a:solidFill>
                <a:schemeClr val="accent4">
                  <a:alpha val="20000"/>
                </a:schemeClr>
              </a:solidFill>
            </a:ln>
            <a:effectLst/>
          </c:spPr>
          <c:marker>
            <c:symbol val="circle"/>
            <c:size val="4"/>
            <c:spPr>
              <a:solidFill>
                <a:schemeClr val="accent4"/>
              </a:solidFill>
              <a:ln w="9525" cap="flat" cmpd="sng" algn="ctr">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xVal>
            <c:numRef>
              <c:f>'[1]Scatter Chart'!$A$2:$A$41</c:f>
              <c:numCache>
                <c:formatCode>General</c:formatCode>
                <c:ptCount val="40"/>
                <c:pt idx="0">
                  <c:v>0</c:v>
                </c:pt>
                <c:pt idx="1">
                  <c:v>0</c:v>
                </c:pt>
                <c:pt idx="2">
                  <c:v>1</c:v>
                </c:pt>
                <c:pt idx="3">
                  <c:v>1</c:v>
                </c:pt>
                <c:pt idx="4">
                  <c:v>0</c:v>
                </c:pt>
                <c:pt idx="5">
                  <c:v>0</c:v>
                </c:pt>
                <c:pt idx="6">
                  <c:v>0</c:v>
                </c:pt>
                <c:pt idx="7">
                  <c:v>1</c:v>
                </c:pt>
                <c:pt idx="8">
                  <c:v>1</c:v>
                </c:pt>
                <c:pt idx="9">
                  <c:v>1</c:v>
                </c:pt>
                <c:pt idx="10">
                  <c:v>0</c:v>
                </c:pt>
                <c:pt idx="11">
                  <c:v>1</c:v>
                </c:pt>
                <c:pt idx="12">
                  <c:v>0</c:v>
                </c:pt>
                <c:pt idx="13">
                  <c:v>0</c:v>
                </c:pt>
                <c:pt idx="14">
                  <c:v>0</c:v>
                </c:pt>
                <c:pt idx="15">
                  <c:v>1</c:v>
                </c:pt>
                <c:pt idx="16">
                  <c:v>0</c:v>
                </c:pt>
                <c:pt idx="17">
                  <c:v>1</c:v>
                </c:pt>
                <c:pt idx="18">
                  <c:v>1</c:v>
                </c:pt>
                <c:pt idx="19">
                  <c:v>1</c:v>
                </c:pt>
                <c:pt idx="20">
                  <c:v>1</c:v>
                </c:pt>
                <c:pt idx="21">
                  <c:v>0</c:v>
                </c:pt>
                <c:pt idx="22">
                  <c:v>1</c:v>
                </c:pt>
                <c:pt idx="23">
                  <c:v>1</c:v>
                </c:pt>
                <c:pt idx="24">
                  <c:v>0</c:v>
                </c:pt>
                <c:pt idx="25">
                  <c:v>0</c:v>
                </c:pt>
                <c:pt idx="26">
                  <c:v>1</c:v>
                </c:pt>
                <c:pt idx="27">
                  <c:v>1</c:v>
                </c:pt>
                <c:pt idx="28">
                  <c:v>1</c:v>
                </c:pt>
                <c:pt idx="29">
                  <c:v>0</c:v>
                </c:pt>
                <c:pt idx="30">
                  <c:v>1</c:v>
                </c:pt>
                <c:pt idx="31">
                  <c:v>0</c:v>
                </c:pt>
                <c:pt idx="32">
                  <c:v>1</c:v>
                </c:pt>
                <c:pt idx="33">
                  <c:v>1</c:v>
                </c:pt>
                <c:pt idx="34">
                  <c:v>1</c:v>
                </c:pt>
                <c:pt idx="35">
                  <c:v>1</c:v>
                </c:pt>
                <c:pt idx="36">
                  <c:v>1</c:v>
                </c:pt>
                <c:pt idx="37">
                  <c:v>1</c:v>
                </c:pt>
                <c:pt idx="38">
                  <c:v>1</c:v>
                </c:pt>
                <c:pt idx="39">
                  <c:v>1</c:v>
                </c:pt>
              </c:numCache>
            </c:numRef>
          </c:xVal>
          <c:yVal>
            <c:numRef>
              <c:f>'[1]Scatter Chart'!$B$2:$B$41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smooth val="0"/>
          <c:extLst>
            <c:ext xmlns:c16="http://schemas.microsoft.com/office/drawing/2014/chart" uri="{C3380CC4-5D6E-409C-BE32-E72D297353CC}">
              <c16:uniqueId val="{00000003-8959-422B-ABE2-787905077700}"/>
            </c:ext>
          </c:extLst>
        </c:ser>
        <c:dLbls>
          <c:dLblPos val="t"/>
          <c:showLegendKey val="0"/>
          <c:showVal val="1"/>
          <c:showCatName val="0"/>
          <c:showSerName val="0"/>
          <c:showPercent val="0"/>
          <c:showBubbleSize val="0"/>
        </c:dLbls>
        <c:axId val="1332122095"/>
        <c:axId val="1332124495"/>
      </c:scatterChart>
      <c:valAx>
        <c:axId val="1332122095"/>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2124495"/>
        <c:crosses val="autoZero"/>
        <c:crossBetween val="midCat"/>
      </c:valAx>
      <c:valAx>
        <c:axId val="13321244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2122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013259061616888E-2"/>
          <c:y val="4.3120757567199089E-2"/>
          <c:w val="0.96018178965331946"/>
          <c:h val="0.91375848486560185"/>
        </c:manualLayout>
      </c:layout>
      <c:scatterChart>
        <c:scatterStyle val="smoothMarker"/>
        <c:varyColors val="0"/>
        <c:ser>
          <c:idx val="0"/>
          <c:order val="0"/>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1"/>
          <c:extLst>
            <c:ext xmlns:c15="http://schemas.microsoft.com/office/drawing/2012/chart" uri="{02D57815-91ED-43cb-92C2-25804820EDAC}">
              <c15:filteredSeriesTitle>
                <c15:tx>
                  <c:strRef>
                    <c:extLst>
                      <c:ext uri="{02D57815-91ED-43cb-92C2-25804820EDAC}">
                        <c15:formulaRef>
                          <c15:sqref>'[1]Scatter Chart'!$E$3</c15:sqref>
                        </c15:formulaRef>
                      </c:ext>
                    </c:extLst>
                    <c:strCache>
                      <c:ptCount val="1"/>
                      <c:pt idx="0">
                        <c:v>Gender</c:v>
                      </c:pt>
                    </c:strCache>
                  </c:strRef>
                </c15:tx>
              </c15:filteredSeriesTitle>
            </c:ext>
            <c:ext xmlns:c16="http://schemas.microsoft.com/office/drawing/2014/chart" uri="{C3380CC4-5D6E-409C-BE32-E72D297353CC}">
              <c16:uniqueId val="{00000000-B861-4168-BB2A-2D03D7905F00}"/>
            </c:ext>
          </c:extLst>
        </c:ser>
        <c:ser>
          <c:idx val="1"/>
          <c:order val="1"/>
          <c:spPr>
            <a:ln w="9525" cap="flat" cmpd="sng" algn="ctr">
              <a:solidFill>
                <a:schemeClr val="accent2">
                  <a:alpha val="70000"/>
                </a:schemeClr>
              </a:solid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1"/>
          <c:extLst>
            <c:ext xmlns:c15="http://schemas.microsoft.com/office/drawing/2012/chart" uri="{02D57815-91ED-43cb-92C2-25804820EDAC}">
              <c15:filteredSeriesTitle>
                <c15:tx>
                  <c:strRef>
                    <c:extLst>
                      <c:ext uri="{02D57815-91ED-43cb-92C2-25804820EDAC}">
                        <c15:formulaRef>
                          <c15:sqref>'[1]Scatter Chart'!$E$4</c15:sqref>
                        </c15:formulaRef>
                      </c:ext>
                    </c:extLst>
                    <c:strCache>
                      <c:ptCount val="1"/>
                      <c:pt idx="0">
                        <c:v>Duration</c:v>
                      </c:pt>
                    </c:strCache>
                  </c:strRef>
                </c15:tx>
              </c15:filteredSeriesTitle>
            </c:ext>
            <c:ext xmlns:c16="http://schemas.microsoft.com/office/drawing/2014/chart" uri="{C3380CC4-5D6E-409C-BE32-E72D297353CC}">
              <c16:uniqueId val="{00000001-B861-4168-BB2A-2D03D7905F00}"/>
            </c:ext>
          </c:extLst>
        </c:ser>
        <c:ser>
          <c:idx val="2"/>
          <c:order val="2"/>
          <c:spPr>
            <a:ln w="9525" cap="flat" cmpd="sng" algn="ctr">
              <a:solidFill>
                <a:schemeClr val="accent3">
                  <a:alpha val="70000"/>
                </a:schemeClr>
              </a:solidFill>
              <a:prstDash val="sysDot"/>
              <a:round/>
            </a:ln>
            <a:effectLst/>
          </c:spPr>
          <c:marker>
            <c:symbol val="circle"/>
            <c:size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1"/>
          <c:extLst>
            <c:ext xmlns:c15="http://schemas.microsoft.com/office/drawing/2012/chart" uri="{02D57815-91ED-43cb-92C2-25804820EDAC}">
              <c15:filteredSeriesTitle>
                <c15:tx>
                  <c:strRef>
                    <c:extLst>
                      <c:ext uri="{02D57815-91ED-43cb-92C2-25804820EDAC}">
                        <c15:formulaRef>
                          <c15:sqref>'[1]Scatter Chart'!$E$5</c15:sqref>
                        </c15:formulaRef>
                      </c:ext>
                    </c:extLst>
                    <c:strCache>
                      <c:ptCount val="1"/>
                      <c:pt idx="0">
                        <c:v>Expect</c:v>
                      </c:pt>
                    </c:strCache>
                  </c:strRef>
                </c15:tx>
              </c15:filteredSeriesTitle>
            </c:ext>
            <c:ext xmlns:c16="http://schemas.microsoft.com/office/drawing/2014/chart" uri="{C3380CC4-5D6E-409C-BE32-E72D297353CC}">
              <c16:uniqueId val="{00000002-B861-4168-BB2A-2D03D7905F00}"/>
            </c:ext>
          </c:extLst>
        </c:ser>
        <c:ser>
          <c:idx val="3"/>
          <c:order val="3"/>
          <c:spPr>
            <a:ln w="9525" cap="flat" cmpd="sng" algn="ctr">
              <a:solidFill>
                <a:schemeClr val="accent4">
                  <a:alpha val="70000"/>
                </a:schemeClr>
              </a:solidFill>
              <a:prstDash val="sysDot"/>
              <a:round/>
            </a:ln>
            <a:effectLst/>
          </c:spPr>
          <c:marker>
            <c:symbol val="circle"/>
            <c:size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xVal>
            <c:numRef>
              <c:f>'[1]Scatter Chart'!$A$2:$A$41</c:f>
              <c:numCache>
                <c:formatCode>General</c:formatCode>
                <c:ptCount val="40"/>
                <c:pt idx="0">
                  <c:v>0</c:v>
                </c:pt>
                <c:pt idx="1">
                  <c:v>0</c:v>
                </c:pt>
                <c:pt idx="2">
                  <c:v>1</c:v>
                </c:pt>
                <c:pt idx="3">
                  <c:v>1</c:v>
                </c:pt>
                <c:pt idx="4">
                  <c:v>0</c:v>
                </c:pt>
                <c:pt idx="5">
                  <c:v>0</c:v>
                </c:pt>
                <c:pt idx="6">
                  <c:v>0</c:v>
                </c:pt>
                <c:pt idx="7">
                  <c:v>1</c:v>
                </c:pt>
                <c:pt idx="8">
                  <c:v>1</c:v>
                </c:pt>
                <c:pt idx="9">
                  <c:v>1</c:v>
                </c:pt>
                <c:pt idx="10">
                  <c:v>0</c:v>
                </c:pt>
                <c:pt idx="11">
                  <c:v>1</c:v>
                </c:pt>
                <c:pt idx="12">
                  <c:v>0</c:v>
                </c:pt>
                <c:pt idx="13">
                  <c:v>0</c:v>
                </c:pt>
                <c:pt idx="14">
                  <c:v>0</c:v>
                </c:pt>
                <c:pt idx="15">
                  <c:v>1</c:v>
                </c:pt>
                <c:pt idx="16">
                  <c:v>0</c:v>
                </c:pt>
                <c:pt idx="17">
                  <c:v>1</c:v>
                </c:pt>
                <c:pt idx="18">
                  <c:v>1</c:v>
                </c:pt>
                <c:pt idx="19">
                  <c:v>1</c:v>
                </c:pt>
                <c:pt idx="20">
                  <c:v>1</c:v>
                </c:pt>
                <c:pt idx="21">
                  <c:v>0</c:v>
                </c:pt>
                <c:pt idx="22">
                  <c:v>1</c:v>
                </c:pt>
                <c:pt idx="23">
                  <c:v>1</c:v>
                </c:pt>
                <c:pt idx="24">
                  <c:v>0</c:v>
                </c:pt>
                <c:pt idx="25">
                  <c:v>0</c:v>
                </c:pt>
                <c:pt idx="26">
                  <c:v>1</c:v>
                </c:pt>
                <c:pt idx="27">
                  <c:v>1</c:v>
                </c:pt>
                <c:pt idx="28">
                  <c:v>1</c:v>
                </c:pt>
                <c:pt idx="29">
                  <c:v>0</c:v>
                </c:pt>
                <c:pt idx="30">
                  <c:v>1</c:v>
                </c:pt>
                <c:pt idx="31">
                  <c:v>0</c:v>
                </c:pt>
                <c:pt idx="32">
                  <c:v>1</c:v>
                </c:pt>
                <c:pt idx="33">
                  <c:v>1</c:v>
                </c:pt>
                <c:pt idx="34">
                  <c:v>1</c:v>
                </c:pt>
                <c:pt idx="35">
                  <c:v>1</c:v>
                </c:pt>
                <c:pt idx="36">
                  <c:v>1</c:v>
                </c:pt>
                <c:pt idx="37">
                  <c:v>1</c:v>
                </c:pt>
                <c:pt idx="38">
                  <c:v>1</c:v>
                </c:pt>
                <c:pt idx="39">
                  <c:v>1</c:v>
                </c:pt>
              </c:numCache>
            </c:numRef>
          </c:xVal>
          <c:yVal>
            <c:numRef>
              <c:f>'[1]Scatter Chart'!$C$2:$C$41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1"/>
          <c:extLst>
            <c:ext xmlns:c16="http://schemas.microsoft.com/office/drawing/2014/chart" uri="{C3380CC4-5D6E-409C-BE32-E72D297353CC}">
              <c16:uniqueId val="{00000003-B861-4168-BB2A-2D03D7905F00}"/>
            </c:ext>
          </c:extLst>
        </c:ser>
        <c:dLbls>
          <c:showLegendKey val="0"/>
          <c:showVal val="0"/>
          <c:showCatName val="0"/>
          <c:showSerName val="0"/>
          <c:showPercent val="0"/>
          <c:showBubbleSize val="0"/>
        </c:dLbls>
        <c:axId val="1332102415"/>
        <c:axId val="1332102895"/>
      </c:scatterChart>
      <c:valAx>
        <c:axId val="1332102415"/>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332102895"/>
        <c:crosses val="autoZero"/>
        <c:crossBetween val="midCat"/>
      </c:valAx>
      <c:valAx>
        <c:axId val="13321028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332102415"/>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59932178244052E-2"/>
          <c:y val="5.7345595836943417E-2"/>
          <c:w val="0.90863170932019299"/>
          <c:h val="0.89264199456308535"/>
        </c:manualLayout>
      </c:layout>
      <c:scatterChart>
        <c:scatterStyle val="smoothMarker"/>
        <c:varyColors val="0"/>
        <c:ser>
          <c:idx val="0"/>
          <c:order val="0"/>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1"/>
          <c:extLst>
            <c:ext xmlns:c15="http://schemas.microsoft.com/office/drawing/2012/chart" uri="{02D57815-91ED-43cb-92C2-25804820EDAC}">
              <c15:filteredSeriesTitle>
                <c15:tx>
                  <c:strRef>
                    <c:extLst>
                      <c:ext uri="{02D57815-91ED-43cb-92C2-25804820EDAC}">
                        <c15:formulaRef>
                          <c15:sqref>'[1]Scatter Chart'!$E$3</c15:sqref>
                        </c15:formulaRef>
                      </c:ext>
                    </c:extLst>
                    <c:strCache>
                      <c:ptCount val="1"/>
                      <c:pt idx="0">
                        <c:v>Gender</c:v>
                      </c:pt>
                    </c:strCache>
                  </c:strRef>
                </c15:tx>
              </c15:filteredSeriesTitle>
            </c:ext>
            <c:ext xmlns:c16="http://schemas.microsoft.com/office/drawing/2014/chart" uri="{C3380CC4-5D6E-409C-BE32-E72D297353CC}">
              <c16:uniqueId val="{00000000-D66F-42D5-ABD5-E617D37DF06F}"/>
            </c:ext>
          </c:extLst>
        </c:ser>
        <c:ser>
          <c:idx val="1"/>
          <c:order val="1"/>
          <c:spPr>
            <a:ln w="9525" cap="flat" cmpd="sng" algn="ctr">
              <a:solidFill>
                <a:schemeClr val="accent2">
                  <a:alpha val="70000"/>
                </a:schemeClr>
              </a:solid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1"/>
          <c:extLst>
            <c:ext xmlns:c15="http://schemas.microsoft.com/office/drawing/2012/chart" uri="{02D57815-91ED-43cb-92C2-25804820EDAC}">
              <c15:filteredSeriesTitle>
                <c15:tx>
                  <c:strRef>
                    <c:extLst>
                      <c:ext uri="{02D57815-91ED-43cb-92C2-25804820EDAC}">
                        <c15:formulaRef>
                          <c15:sqref>'[1]Scatter Chart'!$E$4</c15:sqref>
                        </c15:formulaRef>
                      </c:ext>
                    </c:extLst>
                    <c:strCache>
                      <c:ptCount val="1"/>
                      <c:pt idx="0">
                        <c:v>Duration</c:v>
                      </c:pt>
                    </c:strCache>
                  </c:strRef>
                </c15:tx>
              </c15:filteredSeriesTitle>
            </c:ext>
            <c:ext xmlns:c16="http://schemas.microsoft.com/office/drawing/2014/chart" uri="{C3380CC4-5D6E-409C-BE32-E72D297353CC}">
              <c16:uniqueId val="{00000001-D66F-42D5-ABD5-E617D37DF06F}"/>
            </c:ext>
          </c:extLst>
        </c:ser>
        <c:ser>
          <c:idx val="2"/>
          <c:order val="2"/>
          <c:spPr>
            <a:ln w="9525" cap="flat" cmpd="sng" algn="ctr">
              <a:solidFill>
                <a:schemeClr val="accent3">
                  <a:alpha val="70000"/>
                </a:schemeClr>
              </a:solidFill>
              <a:prstDash val="sysDot"/>
              <a:round/>
            </a:ln>
            <a:effectLst/>
          </c:spPr>
          <c:marker>
            <c:symbol val="circle"/>
            <c:size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1"/>
          <c:extLst>
            <c:ext xmlns:c15="http://schemas.microsoft.com/office/drawing/2012/chart" uri="{02D57815-91ED-43cb-92C2-25804820EDAC}">
              <c15:filteredSeriesTitle>
                <c15:tx>
                  <c:strRef>
                    <c:extLst>
                      <c:ext uri="{02D57815-91ED-43cb-92C2-25804820EDAC}">
                        <c15:formulaRef>
                          <c15:sqref>'[1]Scatter Chart'!$E$5</c15:sqref>
                        </c15:formulaRef>
                      </c:ext>
                    </c:extLst>
                    <c:strCache>
                      <c:ptCount val="1"/>
                      <c:pt idx="0">
                        <c:v>Expect</c:v>
                      </c:pt>
                    </c:strCache>
                  </c:strRef>
                </c15:tx>
              </c15:filteredSeriesTitle>
            </c:ext>
            <c:ext xmlns:c16="http://schemas.microsoft.com/office/drawing/2014/chart" uri="{C3380CC4-5D6E-409C-BE32-E72D297353CC}">
              <c16:uniqueId val="{00000002-D66F-42D5-ABD5-E617D37DF06F}"/>
            </c:ext>
          </c:extLst>
        </c:ser>
        <c:ser>
          <c:idx val="3"/>
          <c:order val="3"/>
          <c:spPr>
            <a:ln w="9525" cap="flat" cmpd="sng" algn="ctr">
              <a:solidFill>
                <a:schemeClr val="accent4">
                  <a:alpha val="70000"/>
                </a:schemeClr>
              </a:solidFill>
              <a:prstDash val="sysDot"/>
              <a:round/>
            </a:ln>
            <a:effectLst/>
          </c:spPr>
          <c:marker>
            <c:symbol val="circle"/>
            <c:size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xVal>
            <c:numRef>
              <c:f>'[1]Scatter Chart'!$B$2:$B$41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'[1]Scatter Chart'!$C$2:$C$41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1"/>
          <c:extLst>
            <c:ext xmlns:c16="http://schemas.microsoft.com/office/drawing/2014/chart" uri="{C3380CC4-5D6E-409C-BE32-E72D297353CC}">
              <c16:uniqueId val="{00000003-D66F-42D5-ABD5-E617D37DF06F}"/>
            </c:ext>
          </c:extLst>
        </c:ser>
        <c:ser>
          <c:idx val="4"/>
          <c:order val="4"/>
          <c:spPr>
            <a:ln w="9525" cap="flat" cmpd="sng" algn="ctr">
              <a:solidFill>
                <a:schemeClr val="accent5">
                  <a:alpha val="70000"/>
                </a:schemeClr>
              </a:solidFill>
              <a:prstDash val="sysDot"/>
              <a:round/>
            </a:ln>
            <a:effectLst/>
          </c:spPr>
          <c:marker>
            <c:symbol val="circle"/>
            <c:size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xVal>
            <c:strRef>
              <c:f>'[1]Scatter Chart'!$F$2:$H$2</c:f>
              <c:strCache>
                <c:ptCount val="3"/>
                <c:pt idx="0">
                  <c:v>Gender</c:v>
                </c:pt>
                <c:pt idx="1">
                  <c:v>Duration</c:v>
                </c:pt>
                <c:pt idx="2">
                  <c:v>Expect</c:v>
                </c:pt>
              </c:strCache>
            </c:strRef>
          </c:xVal>
          <c:yVal>
            <c:numRef>
              <c:f>'[1]Scatter Chart'!$F$3:$H$3</c:f>
              <c:numCache>
                <c:formatCode>General</c:formatCode>
                <c:ptCount val="3"/>
                <c:pt idx="0">
                  <c:v>1</c:v>
                </c:pt>
              </c:numCache>
            </c:numRef>
          </c:yVal>
          <c:smooth val="1"/>
          <c:extLst>
            <c:ext xmlns:c15="http://schemas.microsoft.com/office/drawing/2012/chart" uri="{02D57815-91ED-43cb-92C2-25804820EDAC}">
              <c15:filteredSeriesTitle>
                <c15:tx>
                  <c:strRef>
                    <c:extLst>
                      <c:ext uri="{02D57815-91ED-43cb-92C2-25804820EDAC}">
                        <c15:formulaRef>
                          <c15:sqref>'[1]Scatter Chart'!$E$3</c15:sqref>
                        </c15:formulaRef>
                      </c:ext>
                    </c:extLst>
                    <c:strCache>
                      <c:ptCount val="1"/>
                      <c:pt idx="0">
                        <c:v>Gender</c:v>
                      </c:pt>
                    </c:strCache>
                  </c:strRef>
                </c15:tx>
              </c15:filteredSeriesTitle>
            </c:ext>
            <c:ext xmlns:c16="http://schemas.microsoft.com/office/drawing/2014/chart" uri="{C3380CC4-5D6E-409C-BE32-E72D297353CC}">
              <c16:uniqueId val="{00000004-D66F-42D5-ABD5-E617D37DF06F}"/>
            </c:ext>
          </c:extLst>
        </c:ser>
        <c:ser>
          <c:idx val="5"/>
          <c:order val="5"/>
          <c:spPr>
            <a:ln w="9525" cap="flat" cmpd="sng" algn="ctr">
              <a:solidFill>
                <a:schemeClr val="accent6">
                  <a:alpha val="70000"/>
                </a:schemeClr>
              </a:solidFill>
              <a:prstDash val="sysDot"/>
              <a:round/>
            </a:ln>
            <a:effectLst/>
          </c:spPr>
          <c:marker>
            <c:symbol val="circle"/>
            <c:size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xVal>
            <c:strRef>
              <c:f>'[1]Scatter Chart'!$F$2:$H$2</c:f>
              <c:strCache>
                <c:ptCount val="3"/>
                <c:pt idx="0">
                  <c:v>Gender</c:v>
                </c:pt>
                <c:pt idx="1">
                  <c:v>Duration</c:v>
                </c:pt>
                <c:pt idx="2">
                  <c:v>Expect</c:v>
                </c:pt>
              </c:strCache>
            </c:strRef>
          </c:xVal>
          <c:yVal>
            <c:numRef>
              <c:f>'[1]Scatter Chart'!$F$4:$H$4</c:f>
              <c:numCache>
                <c:formatCode>General</c:formatCode>
                <c:ptCount val="3"/>
                <c:pt idx="0">
                  <c:v>-8.0081190096476934E-2</c:v>
                </c:pt>
                <c:pt idx="1">
                  <c:v>1</c:v>
                </c:pt>
              </c:numCache>
            </c:numRef>
          </c:yVal>
          <c:smooth val="1"/>
          <c:extLst>
            <c:ext xmlns:c15="http://schemas.microsoft.com/office/drawing/2012/chart" uri="{02D57815-91ED-43cb-92C2-25804820EDAC}">
              <c15:filteredSeriesTitle>
                <c15:tx>
                  <c:strRef>
                    <c:extLst>
                      <c:ext uri="{02D57815-91ED-43cb-92C2-25804820EDAC}">
                        <c15:formulaRef>
                          <c15:sqref>'[1]Scatter Chart'!$E$4</c15:sqref>
                        </c15:formulaRef>
                      </c:ext>
                    </c:extLst>
                    <c:strCache>
                      <c:ptCount val="1"/>
                      <c:pt idx="0">
                        <c:v>Duration</c:v>
                      </c:pt>
                    </c:strCache>
                  </c:strRef>
                </c15:tx>
              </c15:filteredSeriesTitle>
            </c:ext>
            <c:ext xmlns:c16="http://schemas.microsoft.com/office/drawing/2014/chart" uri="{C3380CC4-5D6E-409C-BE32-E72D297353CC}">
              <c16:uniqueId val="{00000005-D66F-42D5-ABD5-E617D37DF06F}"/>
            </c:ext>
          </c:extLst>
        </c:ser>
        <c:ser>
          <c:idx val="6"/>
          <c:order val="6"/>
          <c:spPr>
            <a:ln w="9525" cap="flat" cmpd="sng" algn="ctr">
              <a:solidFill>
                <a:schemeClr val="accent1">
                  <a:lumMod val="60000"/>
                  <a:alpha val="70000"/>
                </a:schemeClr>
              </a:solidFill>
              <a:prstDash val="sysDot"/>
              <a:round/>
            </a:ln>
            <a:effectLst/>
          </c:spPr>
          <c:marker>
            <c:symbol val="circle"/>
            <c:size val="5"/>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marker>
          <c:xVal>
            <c:strRef>
              <c:f>'[1]Scatter Chart'!$F$2:$H$2</c:f>
              <c:strCache>
                <c:ptCount val="3"/>
                <c:pt idx="0">
                  <c:v>Gender</c:v>
                </c:pt>
                <c:pt idx="1">
                  <c:v>Duration</c:v>
                </c:pt>
                <c:pt idx="2">
                  <c:v>Expect</c:v>
                </c:pt>
              </c:strCache>
            </c:strRef>
          </c:xVal>
          <c:yVal>
            <c:numRef>
              <c:f>'[1]Scatter Chart'!$F$5:$H$5</c:f>
              <c:numCache>
                <c:formatCode>General</c:formatCode>
                <c:ptCount val="3"/>
                <c:pt idx="0">
                  <c:v>-2.9049644688706338E-2</c:v>
                </c:pt>
                <c:pt idx="1">
                  <c:v>0.25822264315920551</c:v>
                </c:pt>
                <c:pt idx="2">
                  <c:v>1</c:v>
                </c:pt>
              </c:numCache>
            </c:numRef>
          </c:yVal>
          <c:smooth val="1"/>
          <c:extLst>
            <c:ext xmlns:c15="http://schemas.microsoft.com/office/drawing/2012/chart" uri="{02D57815-91ED-43cb-92C2-25804820EDAC}">
              <c15:filteredSeriesTitle>
                <c15:tx>
                  <c:strRef>
                    <c:extLst>
                      <c:ext uri="{02D57815-91ED-43cb-92C2-25804820EDAC}">
                        <c15:formulaRef>
                          <c15:sqref>'[1]Scatter Chart'!$E$5</c15:sqref>
                        </c15:formulaRef>
                      </c:ext>
                    </c:extLst>
                    <c:strCache>
                      <c:ptCount val="1"/>
                      <c:pt idx="0">
                        <c:v>Expect</c:v>
                      </c:pt>
                    </c:strCache>
                  </c:strRef>
                </c15:tx>
              </c15:filteredSeriesTitle>
            </c:ext>
            <c:ext xmlns:c16="http://schemas.microsoft.com/office/drawing/2014/chart" uri="{C3380CC4-5D6E-409C-BE32-E72D297353CC}">
              <c16:uniqueId val="{00000006-D66F-42D5-ABD5-E617D37DF06F}"/>
            </c:ext>
          </c:extLst>
        </c:ser>
        <c:dLbls>
          <c:showLegendKey val="0"/>
          <c:showVal val="0"/>
          <c:showCatName val="0"/>
          <c:showSerName val="0"/>
          <c:showPercent val="0"/>
          <c:showBubbleSize val="0"/>
        </c:dLbls>
        <c:axId val="1332094255"/>
        <c:axId val="1332091855"/>
      </c:scatterChart>
      <c:valAx>
        <c:axId val="1332094255"/>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332091855"/>
        <c:crosses val="autoZero"/>
        <c:crossBetween val="midCat"/>
      </c:valAx>
      <c:valAx>
        <c:axId val="133209185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332094255"/>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736948507551432E-2"/>
          <c:y val="0.14586635645180487"/>
          <c:w val="0.91266198375140373"/>
          <c:h val="0.73920461734619392"/>
        </c:manualLayout>
      </c:layout>
      <c:bubbleChart>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xVal>
            <c:strRef>
              <c:f>'[1]Bubble Chart'!$A$1:$A$41</c:f>
              <c:strCache>
                <c:ptCount val="41"/>
                <c:pt idx="0">
                  <c:v>Gender</c:v>
                </c:pt>
                <c:pt idx="1">
                  <c:v>0</c:v>
                </c:pt>
                <c:pt idx="2">
                  <c:v>0</c:v>
                </c:pt>
                <c:pt idx="3">
                  <c:v>1</c:v>
                </c:pt>
                <c:pt idx="4">
                  <c:v>1</c:v>
                </c:pt>
                <c:pt idx="5">
                  <c:v>0</c:v>
                </c:pt>
                <c:pt idx="6">
                  <c:v>0</c:v>
                </c:pt>
                <c:pt idx="7">
                  <c:v>0</c:v>
                </c:pt>
                <c:pt idx="8">
                  <c:v>1</c:v>
                </c:pt>
                <c:pt idx="9">
                  <c:v>1</c:v>
                </c:pt>
                <c:pt idx="10">
                  <c:v>1</c:v>
                </c:pt>
                <c:pt idx="11">
                  <c:v>0</c:v>
                </c:pt>
                <c:pt idx="12">
                  <c:v>1</c:v>
                </c:pt>
                <c:pt idx="13">
                  <c:v>0</c:v>
                </c:pt>
                <c:pt idx="14">
                  <c:v>0</c:v>
                </c:pt>
                <c:pt idx="15">
                  <c:v>0</c:v>
                </c:pt>
                <c:pt idx="16">
                  <c:v>1</c:v>
                </c:pt>
                <c:pt idx="17">
                  <c:v>0</c:v>
                </c:pt>
                <c:pt idx="18">
                  <c:v>1</c:v>
                </c:pt>
                <c:pt idx="19">
                  <c:v>1</c:v>
                </c:pt>
                <c:pt idx="20">
                  <c:v>1</c:v>
                </c:pt>
                <c:pt idx="21">
                  <c:v>1</c:v>
                </c:pt>
                <c:pt idx="22">
                  <c:v>0</c:v>
                </c:pt>
                <c:pt idx="23">
                  <c:v>1</c:v>
                </c:pt>
                <c:pt idx="24">
                  <c:v>1</c:v>
                </c:pt>
                <c:pt idx="25">
                  <c:v>0</c:v>
                </c:pt>
                <c:pt idx="26">
                  <c:v>0</c:v>
                </c:pt>
                <c:pt idx="27">
                  <c:v>1</c:v>
                </c:pt>
                <c:pt idx="28">
                  <c:v>1</c:v>
                </c:pt>
                <c:pt idx="29">
                  <c:v>1</c:v>
                </c:pt>
                <c:pt idx="30">
                  <c:v>0</c:v>
                </c:pt>
                <c:pt idx="31">
                  <c:v>1</c:v>
                </c:pt>
                <c:pt idx="32">
                  <c:v>0</c:v>
                </c:pt>
                <c:pt idx="33">
                  <c:v>1</c:v>
                </c:pt>
                <c:pt idx="34">
                  <c:v>1</c:v>
                </c:pt>
                <c:pt idx="35">
                  <c:v>1</c:v>
                </c:pt>
                <c:pt idx="36">
                  <c:v>1</c:v>
                </c:pt>
                <c:pt idx="37">
                  <c:v>1</c:v>
                </c:pt>
                <c:pt idx="38">
                  <c:v>1</c:v>
                </c:pt>
                <c:pt idx="39">
                  <c:v>1</c:v>
                </c:pt>
                <c:pt idx="40">
                  <c:v>1</c:v>
                </c:pt>
              </c:strCache>
            </c:strRef>
          </c:xVal>
          <c:yVal>
            <c:numRef>
              <c:f>'[1]Bubble Chart'!$B$1:$B$41</c:f>
              <c:numCache>
                <c:formatCode>General</c:formatCode>
                <c:ptCount val="41"/>
                <c:pt idx="0">
                  <c:v>0</c:v>
                </c:pt>
                <c:pt idx="1">
                  <c:v>2</c:v>
                </c:pt>
                <c:pt idx="2">
                  <c:v>6</c:v>
                </c:pt>
                <c:pt idx="3">
                  <c:v>4</c:v>
                </c:pt>
                <c:pt idx="4">
                  <c:v>0.5</c:v>
                </c:pt>
                <c:pt idx="5">
                  <c:v>0.5</c:v>
                </c:pt>
                <c:pt idx="6">
                  <c:v>2</c:v>
                </c:pt>
                <c:pt idx="7">
                  <c:v>4</c:v>
                </c:pt>
                <c:pt idx="8">
                  <c:v>4</c:v>
                </c:pt>
                <c:pt idx="9">
                  <c:v>2</c:v>
                </c:pt>
                <c:pt idx="10">
                  <c:v>4</c:v>
                </c:pt>
                <c:pt idx="11">
                  <c:v>4</c:v>
                </c:pt>
                <c:pt idx="12">
                  <c:v>2</c:v>
                </c:pt>
                <c:pt idx="13">
                  <c:v>2</c:v>
                </c:pt>
                <c:pt idx="14">
                  <c:v>2</c:v>
                </c:pt>
                <c:pt idx="15">
                  <c:v>2</c:v>
                </c:pt>
                <c:pt idx="16">
                  <c:v>2</c:v>
                </c:pt>
                <c:pt idx="17">
                  <c:v>2</c:v>
                </c:pt>
                <c:pt idx="18">
                  <c:v>2</c:v>
                </c:pt>
                <c:pt idx="19">
                  <c:v>2</c:v>
                </c:pt>
                <c:pt idx="20">
                  <c:v>4</c:v>
                </c:pt>
                <c:pt idx="21">
                  <c:v>4</c:v>
                </c:pt>
                <c:pt idx="22">
                  <c:v>4</c:v>
                </c:pt>
                <c:pt idx="23">
                  <c:v>4</c:v>
                </c:pt>
                <c:pt idx="24">
                  <c:v>4</c:v>
                </c:pt>
                <c:pt idx="25">
                  <c:v>4</c:v>
                </c:pt>
                <c:pt idx="26">
                  <c:v>4</c:v>
                </c:pt>
                <c:pt idx="27">
                  <c:v>4</c:v>
                </c:pt>
                <c:pt idx="28">
                  <c:v>2</c:v>
                </c:pt>
                <c:pt idx="29">
                  <c:v>2</c:v>
                </c:pt>
                <c:pt idx="30">
                  <c:v>4</c:v>
                </c:pt>
                <c:pt idx="31">
                  <c:v>2</c:v>
                </c:pt>
                <c:pt idx="32">
                  <c:v>4</c:v>
                </c:pt>
                <c:pt idx="33">
                  <c:v>4</c:v>
                </c:pt>
                <c:pt idx="34">
                  <c:v>2</c:v>
                </c:pt>
                <c:pt idx="35">
                  <c:v>2</c:v>
                </c:pt>
                <c:pt idx="36">
                  <c:v>4</c:v>
                </c:pt>
                <c:pt idx="37">
                  <c:v>2</c:v>
                </c:pt>
                <c:pt idx="38">
                  <c:v>4</c:v>
                </c:pt>
                <c:pt idx="39">
                  <c:v>2</c:v>
                </c:pt>
                <c:pt idx="40">
                  <c:v>4</c:v>
                </c:pt>
              </c:numCache>
            </c:numRef>
          </c:yVal>
          <c:bubbleSize>
            <c:numRef>
              <c:f>'[1]Bubble Chart'!$C$1:$C$41</c:f>
              <c:numCache>
                <c:formatCode>General</c:formatCode>
                <c:ptCount val="41"/>
                <c:pt idx="0">
                  <c:v>0</c:v>
                </c:pt>
                <c:pt idx="1">
                  <c:v>25</c:v>
                </c:pt>
                <c:pt idx="2">
                  <c:v>25</c:v>
                </c:pt>
                <c:pt idx="3">
                  <c:v>25</c:v>
                </c:pt>
                <c:pt idx="4">
                  <c:v>15</c:v>
                </c:pt>
                <c:pt idx="5">
                  <c:v>25</c:v>
                </c:pt>
                <c:pt idx="6">
                  <c:v>35</c:v>
                </c:pt>
                <c:pt idx="7">
                  <c:v>25</c:v>
                </c:pt>
                <c:pt idx="8">
                  <c:v>25</c:v>
                </c:pt>
                <c:pt idx="9">
                  <c:v>25</c:v>
                </c:pt>
                <c:pt idx="10">
                  <c:v>35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35</c:v>
                </c:pt>
                <c:pt idx="26">
                  <c:v>25</c:v>
                </c:pt>
                <c:pt idx="27">
                  <c:v>25</c:v>
                </c:pt>
                <c:pt idx="28">
                  <c:v>25</c:v>
                </c:pt>
                <c:pt idx="29">
                  <c:v>25</c:v>
                </c:pt>
                <c:pt idx="30">
                  <c:v>15</c:v>
                </c:pt>
                <c:pt idx="31">
                  <c:v>15</c:v>
                </c:pt>
                <c:pt idx="32">
                  <c:v>25</c:v>
                </c:pt>
                <c:pt idx="33">
                  <c:v>35</c:v>
                </c:pt>
                <c:pt idx="34">
                  <c:v>25</c:v>
                </c:pt>
                <c:pt idx="35">
                  <c:v>25</c:v>
                </c:pt>
                <c:pt idx="36">
                  <c:v>25</c:v>
                </c:pt>
                <c:pt idx="37">
                  <c:v>25</c:v>
                </c:pt>
                <c:pt idx="38">
                  <c:v>35</c:v>
                </c:pt>
                <c:pt idx="39">
                  <c:v>25</c:v>
                </c:pt>
                <c:pt idx="40">
                  <c:v>25</c:v>
                </c:pt>
              </c:numCache>
            </c:numRef>
          </c:bubbleSize>
          <c:bubble3D val="0"/>
          <c:extLst>
            <c:ext xmlns:c16="http://schemas.microsoft.com/office/drawing/2014/chart" uri="{C3380CC4-5D6E-409C-BE32-E72D297353CC}">
              <c16:uniqueId val="{00000000-EBE7-4A39-A52B-B7D8EE9B28D6}"/>
            </c:ext>
          </c:extLst>
        </c:ser>
        <c:dLbls>
          <c:showLegendKey val="0"/>
          <c:showVal val="0"/>
          <c:showCatName val="0"/>
          <c:showSerName val="0"/>
          <c:showPercent val="0"/>
          <c:showBubbleSize val="0"/>
        </c:dLbls>
        <c:bubbleScale val="100"/>
        <c:showNegBubbles val="0"/>
        <c:axId val="1452596272"/>
        <c:axId val="1452594352"/>
      </c:bubbleChart>
      <c:valAx>
        <c:axId val="1452596272"/>
        <c:scaling>
          <c:orientation val="minMax"/>
        </c:scaling>
        <c:delete val="0"/>
        <c:axPos val="b"/>
        <c:majorTickMark val="out"/>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52594352"/>
        <c:crosses val="autoZero"/>
        <c:crossBetween val="midCat"/>
      </c:valAx>
      <c:valAx>
        <c:axId val="14525943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52596272"/>
        <c:crosses val="autoZero"/>
        <c:crossBetween val="midCat"/>
      </c:valAx>
      <c:spPr>
        <a:gradFill>
          <a:gsLst>
            <a:gs pos="100000">
              <a:schemeClr val="lt1">
                <a:lumMod val="95000"/>
              </a:schemeClr>
            </a:gs>
            <a:gs pos="0">
              <a:schemeClr val="lt1">
                <a:alpha val="0"/>
              </a:schemeClr>
            </a:gs>
          </a:gsLst>
          <a:lin ang="5400000" scaled="0"/>
        </a:gradFill>
        <a:ln>
          <a:noFill/>
        </a:ln>
        <a:effectLst>
          <a:outerShdw blurRad="50800" dist="38100" sx="101000" sy="101000" algn="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sx="101000" sy="101000" algn="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excel.xlsx]Stacked Bar Chart1!PivotTable1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'Stacked Bar Chart1'!$B$3:$B$4</c:f>
              <c:strCache>
                <c:ptCount val="1"/>
                <c:pt idx="0">
                  <c:v>21-25</c:v>
                </c:pt>
              </c:strCache>
            </c:strRef>
          </c:tx>
          <c:spPr>
            <a:solidFill>
              <a:schemeClr val="accent1"/>
            </a:solidFill>
            <a:ln>
              <a:noFill/>
            </a:ln>
            <a:effectLst/>
          </c:spPr>
          <c:invertIfNegative val="0"/>
          <c:cat>
            <c:strRef>
              <c:f>'Stacked Bar Chart1'!$A$5:$A$18</c:f>
              <c:strCache>
                <c:ptCount val="13"/>
                <c:pt idx="0">
                  <c:v>(blank)</c:v>
                </c:pt>
                <c:pt idx="1">
                  <c:v>Tax Incentives</c:v>
                </c:pt>
                <c:pt idx="2">
                  <c:v>Tax Benefits</c:v>
                </c:pt>
                <c:pt idx="3">
                  <c:v>Safe Investment</c:v>
                </c:pt>
                <c:pt idx="4">
                  <c:v>Risk Free</c:v>
                </c:pt>
                <c:pt idx="5">
                  <c:v>Liquidity</c:v>
                </c:pt>
                <c:pt idx="6">
                  <c:v>High Interest Rates</c:v>
                </c:pt>
                <c:pt idx="7">
                  <c:v>Fund Diversification</c:v>
                </c:pt>
                <c:pt idx="8">
                  <c:v>Fixed Returns</c:v>
                </c:pt>
                <c:pt idx="9">
                  <c:v>Dividend</c:v>
                </c:pt>
                <c:pt idx="10">
                  <c:v>Capital Appreciation</c:v>
                </c:pt>
                <c:pt idx="11">
                  <c:v>Better Returns</c:v>
                </c:pt>
                <c:pt idx="12">
                  <c:v>Assured Returns</c:v>
                </c:pt>
              </c:strCache>
            </c:strRef>
          </c:cat>
          <c:val>
            <c:numRef>
              <c:f>'Stacked Bar Chart1'!$B$5:$B$18</c:f>
              <c:numCache>
                <c:formatCode>General</c:formatCode>
                <c:ptCount val="13"/>
                <c:pt idx="0">
                  <c:v>5</c:v>
                </c:pt>
                <c:pt idx="2">
                  <c:v>1</c:v>
                </c:pt>
                <c:pt idx="7">
                  <c:v>1</c:v>
                </c:pt>
                <c:pt idx="9">
                  <c:v>1</c:v>
                </c:pt>
                <c:pt idx="11">
                  <c:v>1</c:v>
                </c:pt>
                <c:pt idx="12">
                  <c:v>1</c:v>
                </c:pt>
              </c:numCache>
            </c:numRef>
          </c:val>
          <c:extLst>
            <c:ext xmlns:c16="http://schemas.microsoft.com/office/drawing/2014/chart" uri="{C3380CC4-5D6E-409C-BE32-E72D297353CC}">
              <c16:uniqueId val="{00000000-556D-4DC0-BBB5-53089A57F706}"/>
            </c:ext>
          </c:extLst>
        </c:ser>
        <c:ser>
          <c:idx val="1"/>
          <c:order val="1"/>
          <c:tx>
            <c:strRef>
              <c:f>'Stacked Bar Chart1'!$C$3:$C$4</c:f>
              <c:strCache>
                <c:ptCount val="1"/>
                <c:pt idx="0">
                  <c:v>26-30</c:v>
                </c:pt>
              </c:strCache>
            </c:strRef>
          </c:tx>
          <c:spPr>
            <a:solidFill>
              <a:schemeClr val="accent2"/>
            </a:solidFill>
            <a:ln>
              <a:noFill/>
            </a:ln>
            <a:effectLst/>
          </c:spPr>
          <c:invertIfNegative val="0"/>
          <c:cat>
            <c:strRef>
              <c:f>'Stacked Bar Chart1'!$A$5:$A$18</c:f>
              <c:strCache>
                <c:ptCount val="13"/>
                <c:pt idx="0">
                  <c:v>(blank)</c:v>
                </c:pt>
                <c:pt idx="1">
                  <c:v>Tax Incentives</c:v>
                </c:pt>
                <c:pt idx="2">
                  <c:v>Tax Benefits</c:v>
                </c:pt>
                <c:pt idx="3">
                  <c:v>Safe Investment</c:v>
                </c:pt>
                <c:pt idx="4">
                  <c:v>Risk Free</c:v>
                </c:pt>
                <c:pt idx="5">
                  <c:v>Liquidity</c:v>
                </c:pt>
                <c:pt idx="6">
                  <c:v>High Interest Rates</c:v>
                </c:pt>
                <c:pt idx="7">
                  <c:v>Fund Diversification</c:v>
                </c:pt>
                <c:pt idx="8">
                  <c:v>Fixed Returns</c:v>
                </c:pt>
                <c:pt idx="9">
                  <c:v>Dividend</c:v>
                </c:pt>
                <c:pt idx="10">
                  <c:v>Capital Appreciation</c:v>
                </c:pt>
                <c:pt idx="11">
                  <c:v>Better Returns</c:v>
                </c:pt>
                <c:pt idx="12">
                  <c:v>Assured Returns</c:v>
                </c:pt>
              </c:strCache>
            </c:strRef>
          </c:cat>
          <c:val>
            <c:numRef>
              <c:f>'Stacked Bar Chart1'!$C$5:$C$18</c:f>
              <c:numCache>
                <c:formatCode>General</c:formatCode>
                <c:ptCount val="13"/>
                <c:pt idx="0">
                  <c:v>18</c:v>
                </c:pt>
                <c:pt idx="3">
                  <c:v>1</c:v>
                </c:pt>
                <c:pt idx="4">
                  <c:v>1</c:v>
                </c:pt>
                <c:pt idx="5">
                  <c:v>1</c:v>
                </c:pt>
              </c:numCache>
            </c:numRef>
          </c:val>
          <c:extLst>
            <c:ext xmlns:c16="http://schemas.microsoft.com/office/drawing/2014/chart" uri="{C3380CC4-5D6E-409C-BE32-E72D297353CC}">
              <c16:uniqueId val="{00000001-556D-4DC0-BBB5-53089A57F706}"/>
            </c:ext>
          </c:extLst>
        </c:ser>
        <c:ser>
          <c:idx val="2"/>
          <c:order val="2"/>
          <c:tx>
            <c:strRef>
              <c:f>'Stacked Bar Chart1'!$D$3:$D$4</c:f>
              <c:strCache>
                <c:ptCount val="1"/>
                <c:pt idx="0">
                  <c:v>31-35</c:v>
                </c:pt>
              </c:strCache>
            </c:strRef>
          </c:tx>
          <c:spPr>
            <a:solidFill>
              <a:schemeClr val="accent3"/>
            </a:solidFill>
            <a:ln>
              <a:noFill/>
            </a:ln>
            <a:effectLst/>
          </c:spPr>
          <c:invertIfNegative val="0"/>
          <c:cat>
            <c:strRef>
              <c:f>'Stacked Bar Chart1'!$A$5:$A$18</c:f>
              <c:strCache>
                <c:ptCount val="13"/>
                <c:pt idx="0">
                  <c:v>(blank)</c:v>
                </c:pt>
                <c:pt idx="1">
                  <c:v>Tax Incentives</c:v>
                </c:pt>
                <c:pt idx="2">
                  <c:v>Tax Benefits</c:v>
                </c:pt>
                <c:pt idx="3">
                  <c:v>Safe Investment</c:v>
                </c:pt>
                <c:pt idx="4">
                  <c:v>Risk Free</c:v>
                </c:pt>
                <c:pt idx="5">
                  <c:v>Liquidity</c:v>
                </c:pt>
                <c:pt idx="6">
                  <c:v>High Interest Rates</c:v>
                </c:pt>
                <c:pt idx="7">
                  <c:v>Fund Diversification</c:v>
                </c:pt>
                <c:pt idx="8">
                  <c:v>Fixed Returns</c:v>
                </c:pt>
                <c:pt idx="9">
                  <c:v>Dividend</c:v>
                </c:pt>
                <c:pt idx="10">
                  <c:v>Capital Appreciation</c:v>
                </c:pt>
                <c:pt idx="11">
                  <c:v>Better Returns</c:v>
                </c:pt>
                <c:pt idx="12">
                  <c:v>Assured Returns</c:v>
                </c:pt>
              </c:strCache>
            </c:strRef>
          </c:cat>
          <c:val>
            <c:numRef>
              <c:f>'Stacked Bar Chart1'!$D$5:$D$18</c:f>
              <c:numCache>
                <c:formatCode>General</c:formatCode>
                <c:ptCount val="13"/>
                <c:pt idx="0">
                  <c:v>5</c:v>
                </c:pt>
                <c:pt idx="1">
                  <c:v>1</c:v>
                </c:pt>
                <c:pt idx="6">
                  <c:v>1</c:v>
                </c:pt>
                <c:pt idx="8">
                  <c:v>1</c:v>
                </c:pt>
                <c:pt idx="10">
                  <c:v>1</c:v>
                </c:pt>
              </c:numCache>
            </c:numRef>
          </c:val>
          <c:extLst>
            <c:ext xmlns:c16="http://schemas.microsoft.com/office/drawing/2014/chart" uri="{C3380CC4-5D6E-409C-BE32-E72D297353CC}">
              <c16:uniqueId val="{00000002-556D-4DC0-BBB5-53089A57F706}"/>
            </c:ext>
          </c:extLst>
        </c:ser>
        <c:dLbls>
          <c:showLegendKey val="0"/>
          <c:showVal val="0"/>
          <c:showCatName val="0"/>
          <c:showSerName val="0"/>
          <c:showPercent val="0"/>
          <c:showBubbleSize val="0"/>
        </c:dLbls>
        <c:gapWidth val="150"/>
        <c:overlap val="100"/>
        <c:axId val="1395657856"/>
        <c:axId val="1395656416"/>
      </c:barChart>
      <c:catAx>
        <c:axId val="1395657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56416"/>
        <c:crosses val="autoZero"/>
        <c:auto val="1"/>
        <c:lblAlgn val="ctr"/>
        <c:lblOffset val="100"/>
        <c:noMultiLvlLbl val="0"/>
      </c:catAx>
      <c:valAx>
        <c:axId val="139565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5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7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spPr>
      <a:ln w="9525" cap="flat" cmpd="sng" algn="ctr">
        <a:solidFill>
          <a:schemeClr val="lt1">
            <a:lumMod val="50000"/>
          </a:schemeClr>
        </a:solidFill>
        <a:round/>
      </a:ln>
    </cs:spPr>
    <cs:defRPr sz="900" kern="1200"/>
  </cs:categoryAxis>
  <cs:chartArea>
    <cs:lnRef idx="0"/>
    <cs:fillRef idx="0"/>
    <cs:effectRef idx="0"/>
    <cs:fontRef idx="minor">
      <a:schemeClr val="tx1"/>
    </cs:fontRef>
    <cs:spPr>
      <a:solidFill>
        <a:schemeClr val="dk1">
          <a:lumMod val="75000"/>
          <a:lumOff val="25000"/>
        </a:schemeClr>
      </a:solidFill>
      <a:ln w="9525" cap="flat" cmpd="sng" algn="ctr">
        <a:solidFill>
          <a:schemeClr val="dk1">
            <a:tint val="75000"/>
          </a:schemeClr>
        </a:solidFill>
        <a:round/>
      </a:ln>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
  <cs:dataPoint3D>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4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dk1">
          <a:lumMod val="85000"/>
          <a:lumOff val="15000"/>
        </a:schemeClr>
      </a:solidFill>
    </cs:spPr>
  </cs:floor>
  <cs:gridlineMajor>
    <cs:lnRef idx="0"/>
    <cs:fillRef idx="0"/>
    <cs:effectRef idx="0"/>
    <cs:fontRef idx="minor">
      <a:schemeClr val="tx1"/>
    </cs:fontRef>
    <cs: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cs:spPr>
  </cs:gridlineMajor>
  <cs:gridlineMinor>
    <cs:lnRef idx="0"/>
    <cs:fillRef idx="0"/>
    <cs:effectRef idx="0"/>
    <cs:fontRef idx="minor">
      <a:schemeClr val="tx1"/>
    </cs:fontRef>
    <cs:spPr>
      <a:ln w="9525" cap="flat" cmpd="sng" algn="ctr">
        <a:gradFill>
          <a:gsLst>
            <a:gs pos="0">
              <a:schemeClr val="dk1">
                <a:lumMod val="65000"/>
                <a:lumOff val="35000"/>
                <a:alpha val="46000"/>
              </a:schemeClr>
            </a:gs>
            <a:gs pos="100000">
              <a:schemeClr val="dk1">
                <a:lumMod val="75000"/>
                <a:lumOff val="25000"/>
                <a:alpha val="42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round/>
      </a:ln>
    </cs:spPr>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tx1"/>
    </cs:fontRef>
    <cs:spPr>
      <a:solidFill>
        <a:schemeClr val="tx1">
          <a:lumMod val="85000"/>
          <a:lumOff val="15000"/>
        </a:schemeClr>
      </a:solidFill>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4.svg"/><Relationship Id="rId18" Type="http://schemas.openxmlformats.org/officeDocument/2006/relationships/image" Target="../media/image9.png"/><Relationship Id="rId26" Type="http://schemas.openxmlformats.org/officeDocument/2006/relationships/chart" Target="../charts/chart21.xml"/><Relationship Id="rId3" Type="http://schemas.openxmlformats.org/officeDocument/2006/relationships/chart" Target="../charts/chart14.xml"/><Relationship Id="rId21" Type="http://schemas.openxmlformats.org/officeDocument/2006/relationships/image" Target="../media/image12.svg"/><Relationship Id="rId7" Type="http://schemas.openxmlformats.org/officeDocument/2006/relationships/chart" Target="../charts/chart18.xml"/><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6.svg"/><Relationship Id="rId2" Type="http://schemas.openxmlformats.org/officeDocument/2006/relationships/chart" Target="../charts/chart13.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2.svg"/><Relationship Id="rId24" Type="http://schemas.openxmlformats.org/officeDocument/2006/relationships/image" Target="../media/image15.png"/><Relationship Id="rId5" Type="http://schemas.openxmlformats.org/officeDocument/2006/relationships/chart" Target="../charts/chart16.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6</xdr:col>
      <xdr:colOff>121920</xdr:colOff>
      <xdr:row>3</xdr:row>
      <xdr:rowOff>49530</xdr:rowOff>
    </xdr:from>
    <xdr:to>
      <xdr:col>13</xdr:col>
      <xdr:colOff>426720</xdr:colOff>
      <xdr:row>18</xdr:row>
      <xdr:rowOff>49530</xdr:rowOff>
    </xdr:to>
    <xdr:graphicFrame macro="">
      <xdr:nvGraphicFramePr>
        <xdr:cNvPr id="2" name="Chart 1">
          <a:extLst>
            <a:ext uri="{FF2B5EF4-FFF2-40B4-BE49-F238E27FC236}">
              <a16:creationId xmlns:a16="http://schemas.microsoft.com/office/drawing/2014/main" id="{13A7D089-4255-CE9E-040E-5F89D5837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548640</xdr:colOff>
      <xdr:row>3</xdr:row>
      <xdr:rowOff>133350</xdr:rowOff>
    </xdr:from>
    <xdr:to>
      <xdr:col>14</xdr:col>
      <xdr:colOff>182880</xdr:colOff>
      <xdr:row>17</xdr:row>
      <xdr:rowOff>121920</xdr:rowOff>
    </xdr:to>
    <xdr:graphicFrame macro="">
      <xdr:nvGraphicFramePr>
        <xdr:cNvPr id="3" name="Chart 2">
          <a:extLst>
            <a:ext uri="{FF2B5EF4-FFF2-40B4-BE49-F238E27FC236}">
              <a16:creationId xmlns:a16="http://schemas.microsoft.com/office/drawing/2014/main" id="{37133CBC-EF98-7C6A-4E6A-B9F499F82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213360</xdr:colOff>
      <xdr:row>6</xdr:row>
      <xdr:rowOff>64770</xdr:rowOff>
    </xdr:from>
    <xdr:to>
      <xdr:col>13</xdr:col>
      <xdr:colOff>518160</xdr:colOff>
      <xdr:row>21</xdr:row>
      <xdr:rowOff>64770</xdr:rowOff>
    </xdr:to>
    <xdr:graphicFrame macro="">
      <xdr:nvGraphicFramePr>
        <xdr:cNvPr id="2" name="Chart 1">
          <a:extLst>
            <a:ext uri="{FF2B5EF4-FFF2-40B4-BE49-F238E27FC236}">
              <a16:creationId xmlns:a16="http://schemas.microsoft.com/office/drawing/2014/main" id="{EB61C5DA-144E-6D66-2FDC-D40EB95EE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4</xdr:row>
      <xdr:rowOff>3810</xdr:rowOff>
    </xdr:from>
    <xdr:to>
      <xdr:col>10</xdr:col>
      <xdr:colOff>228600</xdr:colOff>
      <xdr:row>19</xdr:row>
      <xdr:rowOff>3810</xdr:rowOff>
    </xdr:to>
    <xdr:graphicFrame macro="">
      <xdr:nvGraphicFramePr>
        <xdr:cNvPr id="2" name="Chart 1">
          <a:extLst>
            <a:ext uri="{FF2B5EF4-FFF2-40B4-BE49-F238E27FC236}">
              <a16:creationId xmlns:a16="http://schemas.microsoft.com/office/drawing/2014/main" id="{9D273852-0AFF-2B3B-3540-BCBA84A53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60960</xdr:colOff>
      <xdr:row>3</xdr:row>
      <xdr:rowOff>22860</xdr:rowOff>
    </xdr:from>
    <xdr:to>
      <xdr:col>12</xdr:col>
      <xdr:colOff>426720</xdr:colOff>
      <xdr:row>20</xdr:row>
      <xdr:rowOff>110490</xdr:rowOff>
    </xdr:to>
    <xdr:graphicFrame macro="">
      <xdr:nvGraphicFramePr>
        <xdr:cNvPr id="2" name="Chart 1">
          <a:extLst>
            <a:ext uri="{FF2B5EF4-FFF2-40B4-BE49-F238E27FC236}">
              <a16:creationId xmlns:a16="http://schemas.microsoft.com/office/drawing/2014/main" id="{DC461E50-BE9F-FACA-7D03-DD09C0825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182880</xdr:colOff>
      <xdr:row>1</xdr:row>
      <xdr:rowOff>129540</xdr:rowOff>
    </xdr:from>
    <xdr:to>
      <xdr:col>14</xdr:col>
      <xdr:colOff>76200</xdr:colOff>
      <xdr:row>20</xdr:row>
      <xdr:rowOff>137160</xdr:rowOff>
    </xdr:to>
    <xdr:graphicFrame macro="">
      <xdr:nvGraphicFramePr>
        <xdr:cNvPr id="2" name="Chart 1">
          <a:extLst>
            <a:ext uri="{FF2B5EF4-FFF2-40B4-BE49-F238E27FC236}">
              <a16:creationId xmlns:a16="http://schemas.microsoft.com/office/drawing/2014/main" id="{E0CAD94B-4F8C-60CD-1EED-9A388F7D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53340</xdr:colOff>
      <xdr:row>2</xdr:row>
      <xdr:rowOff>137160</xdr:rowOff>
    </xdr:from>
    <xdr:to>
      <xdr:col>12</xdr:col>
      <xdr:colOff>403860</xdr:colOff>
      <xdr:row>23</xdr:row>
      <xdr:rowOff>7620</xdr:rowOff>
    </xdr:to>
    <xdr:graphicFrame macro="">
      <xdr:nvGraphicFramePr>
        <xdr:cNvPr id="2" name="Chart 1">
          <a:extLst>
            <a:ext uri="{FF2B5EF4-FFF2-40B4-BE49-F238E27FC236}">
              <a16:creationId xmlns:a16="http://schemas.microsoft.com/office/drawing/2014/main" id="{E6608185-CD90-E21D-31B1-C932233EA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60960</xdr:colOff>
      <xdr:row>4</xdr:row>
      <xdr:rowOff>121920</xdr:rowOff>
    </xdr:from>
    <xdr:to>
      <xdr:col>11</xdr:col>
      <xdr:colOff>251460</xdr:colOff>
      <xdr:row>19</xdr:row>
      <xdr:rowOff>171450</xdr:rowOff>
    </xdr:to>
    <xdr:graphicFrame macro="">
      <xdr:nvGraphicFramePr>
        <xdr:cNvPr id="2" name="Chart 1">
          <a:extLst>
            <a:ext uri="{FF2B5EF4-FFF2-40B4-BE49-F238E27FC236}">
              <a16:creationId xmlns:a16="http://schemas.microsoft.com/office/drawing/2014/main" id="{A58E983B-5DE2-4503-93A0-F2C4CD348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144780</xdr:colOff>
      <xdr:row>0</xdr:row>
      <xdr:rowOff>114300</xdr:rowOff>
    </xdr:from>
    <xdr:to>
      <xdr:col>21</xdr:col>
      <xdr:colOff>594360</xdr:colOff>
      <xdr:row>14</xdr:row>
      <xdr:rowOff>156210</xdr:rowOff>
    </xdr:to>
    <xdr:graphicFrame macro="">
      <xdr:nvGraphicFramePr>
        <xdr:cNvPr id="3" name="Chart 2">
          <a:extLst>
            <a:ext uri="{FF2B5EF4-FFF2-40B4-BE49-F238E27FC236}">
              <a16:creationId xmlns:a16="http://schemas.microsoft.com/office/drawing/2014/main" id="{A4106C82-0BA1-4ACA-B449-73F4E176E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388620</xdr:colOff>
      <xdr:row>15</xdr:row>
      <xdr:rowOff>121920</xdr:rowOff>
    </xdr:from>
    <xdr:to>
      <xdr:col>22</xdr:col>
      <xdr:colOff>91440</xdr:colOff>
      <xdr:row>30</xdr:row>
      <xdr:rowOff>121920</xdr:rowOff>
    </xdr:to>
    <xdr:graphicFrame macro="">
      <xdr:nvGraphicFramePr>
        <xdr:cNvPr id="4" name="Chart 3">
          <a:extLst>
            <a:ext uri="{FF2B5EF4-FFF2-40B4-BE49-F238E27FC236}">
              <a16:creationId xmlns:a16="http://schemas.microsoft.com/office/drawing/2014/main" id="{385F6BF6-6A02-4905-B7A9-9C909CA32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182880</xdr:colOff>
      <xdr:row>4</xdr:row>
      <xdr:rowOff>45720</xdr:rowOff>
    </xdr:from>
    <xdr:to>
      <xdr:col>17</xdr:col>
      <xdr:colOff>160020</xdr:colOff>
      <xdr:row>21</xdr:row>
      <xdr:rowOff>19050</xdr:rowOff>
    </xdr:to>
    <xdr:graphicFrame macro="">
      <xdr:nvGraphicFramePr>
        <xdr:cNvPr id="2" name="Chart 1">
          <a:extLst>
            <a:ext uri="{FF2B5EF4-FFF2-40B4-BE49-F238E27FC236}">
              <a16:creationId xmlns:a16="http://schemas.microsoft.com/office/drawing/2014/main" id="{B6F2F596-7349-4333-B532-BEB761C98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381792</xdr:colOff>
      <xdr:row>5</xdr:row>
      <xdr:rowOff>110837</xdr:rowOff>
    </xdr:from>
    <xdr:to>
      <xdr:col>13</xdr:col>
      <xdr:colOff>193964</xdr:colOff>
      <xdr:row>19</xdr:row>
      <xdr:rowOff>179118</xdr:rowOff>
    </xdr:to>
    <xdr:graphicFrame macro="">
      <xdr:nvGraphicFramePr>
        <xdr:cNvPr id="3" name="Chart 2">
          <a:extLst>
            <a:ext uri="{FF2B5EF4-FFF2-40B4-BE49-F238E27FC236}">
              <a16:creationId xmlns:a16="http://schemas.microsoft.com/office/drawing/2014/main" id="{B883C678-B642-4F40-8F30-DF34899D9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318655</xdr:colOff>
      <xdr:row>10</xdr:row>
      <xdr:rowOff>124691</xdr:rowOff>
    </xdr:from>
    <xdr:to>
      <xdr:col>16</xdr:col>
      <xdr:colOff>568036</xdr:colOff>
      <xdr:row>20</xdr:row>
      <xdr:rowOff>41563</xdr:rowOff>
    </xdr:to>
    <mc:AlternateContent xmlns:mc="http://schemas.openxmlformats.org/markup-compatibility/2006" xmlns:a14="http://schemas.microsoft.com/office/drawing/2010/main">
      <mc:Choice Requires="a14">
        <xdr:graphicFrame macro="">
          <xdr:nvGraphicFramePr>
            <xdr:cNvPr id="4" name="Purpose">
              <a:extLst>
                <a:ext uri="{FF2B5EF4-FFF2-40B4-BE49-F238E27FC236}">
                  <a16:creationId xmlns:a16="http://schemas.microsoft.com/office/drawing/2014/main" id="{D063F508-413D-E6A1-1F11-83DE8E0DCE5C}"/>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mlns="">
        <xdr:sp macro="" textlink="">
          <xdr:nvSpPr>
            <xdr:cNvPr id="0" name=""/>
            <xdr:cNvSpPr>
              <a:spLocks noTextEdit="1"/>
            </xdr:cNvSpPr>
          </xdr:nvSpPr>
          <xdr:spPr>
            <a:xfrm>
              <a:off x="8243455" y="1925782"/>
              <a:ext cx="2078181" cy="1717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66107</xdr:colOff>
      <xdr:row>5</xdr:row>
      <xdr:rowOff>152400</xdr:rowOff>
    </xdr:from>
    <xdr:to>
      <xdr:col>22</xdr:col>
      <xdr:colOff>600695</xdr:colOff>
      <xdr:row>21</xdr:row>
      <xdr:rowOff>152399</xdr:rowOff>
    </xdr:to>
    <xdr:graphicFrame macro="">
      <xdr:nvGraphicFramePr>
        <xdr:cNvPr id="6" name="Chart 5">
          <a:extLst>
            <a:ext uri="{FF2B5EF4-FFF2-40B4-BE49-F238E27FC236}">
              <a16:creationId xmlns:a16="http://schemas.microsoft.com/office/drawing/2014/main" id="{239E9BEB-544C-4508-B166-354C5291C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334487</xdr:colOff>
      <xdr:row>5</xdr:row>
      <xdr:rowOff>145967</xdr:rowOff>
    </xdr:from>
    <xdr:to>
      <xdr:col>17</xdr:col>
      <xdr:colOff>13854</xdr:colOff>
      <xdr:row>10</xdr:row>
      <xdr:rowOff>27709</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C21CBB5E-87E6-1A9D-DCC8-4B47A4155BC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259287" y="1046512"/>
              <a:ext cx="2117767" cy="782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124691</xdr:colOff>
      <xdr:row>5</xdr:row>
      <xdr:rowOff>96982</xdr:rowOff>
    </xdr:from>
    <xdr:to>
      <xdr:col>7</xdr:col>
      <xdr:colOff>207818</xdr:colOff>
      <xdr:row>26</xdr:row>
      <xdr:rowOff>110837</xdr:rowOff>
    </xdr:to>
    <xdr:graphicFrame macro="">
      <xdr:nvGraphicFramePr>
        <xdr:cNvPr id="8" name="Chart 7">
          <a:extLst>
            <a:ext uri="{FF2B5EF4-FFF2-40B4-BE49-F238E27FC236}">
              <a16:creationId xmlns:a16="http://schemas.microsoft.com/office/drawing/2014/main" id="{13A5FDE0-F742-448F-9A20-7547B4E38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336666</xdr:colOff>
      <xdr:row>20</xdr:row>
      <xdr:rowOff>101830</xdr:rowOff>
    </xdr:from>
    <xdr:to>
      <xdr:col>10</xdr:col>
      <xdr:colOff>193964</xdr:colOff>
      <xdr:row>26</xdr:row>
      <xdr:rowOff>83128</xdr:rowOff>
    </xdr:to>
    <mc:AlternateContent xmlns:mc="http://schemas.openxmlformats.org/markup-compatibility/2006" xmlns:a14="http://schemas.microsoft.com/office/drawing/2010/main">
      <mc:Choice Requires="a14">
        <xdr:graphicFrame macro="">
          <xdr:nvGraphicFramePr>
            <xdr:cNvPr id="9" name="Investment_Avenues">
              <a:extLst>
                <a:ext uri="{FF2B5EF4-FFF2-40B4-BE49-F238E27FC236}">
                  <a16:creationId xmlns:a16="http://schemas.microsoft.com/office/drawing/2014/main" id="{D99515C4-DE03-9E40-5CDB-2EC10DBD6E31}"/>
                </a:ext>
              </a:extLst>
            </xdr:cNvPr>
            <xdr:cNvGraphicFramePr/>
          </xdr:nvGraphicFramePr>
          <xdr:xfrm>
            <a:off x="0" y="0"/>
            <a:ext cx="0" cy="0"/>
          </xdr:xfrm>
          <a:graphic>
            <a:graphicData uri="http://schemas.microsoft.com/office/drawing/2010/slicer">
              <sle:slicer xmlns:sle="http://schemas.microsoft.com/office/drawing/2010/slicer" name="Investment_Avenues"/>
            </a:graphicData>
          </a:graphic>
        </xdr:graphicFrame>
      </mc:Choice>
      <mc:Fallback xmlns="">
        <xdr:sp macro="" textlink="">
          <xdr:nvSpPr>
            <xdr:cNvPr id="0" name=""/>
            <xdr:cNvSpPr>
              <a:spLocks noTextEdit="1"/>
            </xdr:cNvSpPr>
          </xdr:nvSpPr>
          <xdr:spPr>
            <a:xfrm>
              <a:off x="4603866" y="3704012"/>
              <a:ext cx="1686098" cy="1061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153787</xdr:colOff>
      <xdr:row>22</xdr:row>
      <xdr:rowOff>91440</xdr:rowOff>
    </xdr:from>
    <xdr:to>
      <xdr:col>42</xdr:col>
      <xdr:colOff>166255</xdr:colOff>
      <xdr:row>59</xdr:row>
      <xdr:rowOff>110837</xdr:rowOff>
    </xdr:to>
    <xdr:graphicFrame macro="">
      <xdr:nvGraphicFramePr>
        <xdr:cNvPr id="10" name="Chart 9">
          <a:extLst>
            <a:ext uri="{FF2B5EF4-FFF2-40B4-BE49-F238E27FC236}">
              <a16:creationId xmlns:a16="http://schemas.microsoft.com/office/drawing/2014/main" id="{0329F2FF-4581-42C2-94F2-49D27C71E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234834</xdr:colOff>
      <xdr:row>42</xdr:row>
      <xdr:rowOff>83129</xdr:rowOff>
    </xdr:from>
    <xdr:to>
      <xdr:col>32</xdr:col>
      <xdr:colOff>55417</xdr:colOff>
      <xdr:row>60</xdr:row>
      <xdr:rowOff>0</xdr:rowOff>
    </xdr:to>
    <mc:AlternateContent xmlns:mc="http://schemas.openxmlformats.org/markup-compatibility/2006" xmlns:a14="http://schemas.microsoft.com/office/drawing/2010/main">
      <mc:Choice Requires="a14">
        <xdr:graphicFrame macro="">
          <xdr:nvGraphicFramePr>
            <xdr:cNvPr id="11" name="Source">
              <a:extLst>
                <a:ext uri="{FF2B5EF4-FFF2-40B4-BE49-F238E27FC236}">
                  <a16:creationId xmlns:a16="http://schemas.microsoft.com/office/drawing/2014/main" id="{0BDD64EC-F3A3-3F76-9EB0-477AEFB07825}"/>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6694034" y="7647711"/>
              <a:ext cx="2868583" cy="3158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458783</xdr:colOff>
      <xdr:row>22</xdr:row>
      <xdr:rowOff>41564</xdr:rowOff>
    </xdr:from>
    <xdr:to>
      <xdr:col>19</xdr:col>
      <xdr:colOff>458783</xdr:colOff>
      <xdr:row>41</xdr:row>
      <xdr:rowOff>96981</xdr:rowOff>
    </xdr:to>
    <mc:AlternateContent xmlns:mc="http://schemas.openxmlformats.org/markup-compatibility/2006" xmlns:a14="http://schemas.microsoft.com/office/drawing/2010/main">
      <mc:Choice Requires="a14">
        <xdr:graphicFrame macro="">
          <xdr:nvGraphicFramePr>
            <xdr:cNvPr id="13" name="All Reasons">
              <a:extLst>
                <a:ext uri="{FF2B5EF4-FFF2-40B4-BE49-F238E27FC236}">
                  <a16:creationId xmlns:a16="http://schemas.microsoft.com/office/drawing/2014/main" id="{77AEF50D-082B-E4DE-FDCA-E45DDA456CAA}"/>
                </a:ext>
              </a:extLst>
            </xdr:cNvPr>
            <xdr:cNvGraphicFramePr/>
          </xdr:nvGraphicFramePr>
          <xdr:xfrm>
            <a:off x="0" y="0"/>
            <a:ext cx="0" cy="0"/>
          </xdr:xfrm>
          <a:graphic>
            <a:graphicData uri="http://schemas.microsoft.com/office/drawing/2010/slicer">
              <sle:slicer xmlns:sle="http://schemas.microsoft.com/office/drawing/2010/slicer" name="All Reasons"/>
            </a:graphicData>
          </a:graphic>
        </xdr:graphicFrame>
      </mc:Choice>
      <mc:Fallback xmlns="">
        <xdr:sp macro="" textlink="">
          <xdr:nvSpPr>
            <xdr:cNvPr id="0" name=""/>
            <xdr:cNvSpPr>
              <a:spLocks noTextEdit="1"/>
            </xdr:cNvSpPr>
          </xdr:nvSpPr>
          <xdr:spPr>
            <a:xfrm>
              <a:off x="10212383" y="4003964"/>
              <a:ext cx="1828800" cy="3477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90055</xdr:colOff>
      <xdr:row>27</xdr:row>
      <xdr:rowOff>1</xdr:rowOff>
    </xdr:from>
    <xdr:to>
      <xdr:col>13</xdr:col>
      <xdr:colOff>526473</xdr:colOff>
      <xdr:row>44</xdr:row>
      <xdr:rowOff>83128</xdr:rowOff>
    </xdr:to>
    <xdr:graphicFrame macro="">
      <xdr:nvGraphicFramePr>
        <xdr:cNvPr id="14" name="Chart 13">
          <a:extLst>
            <a:ext uri="{FF2B5EF4-FFF2-40B4-BE49-F238E27FC236}">
              <a16:creationId xmlns:a16="http://schemas.microsoft.com/office/drawing/2014/main" id="{AB064714-6EF9-404A-971C-6B904E48D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47799</xdr:colOff>
      <xdr:row>27</xdr:row>
      <xdr:rowOff>41564</xdr:rowOff>
    </xdr:from>
    <xdr:to>
      <xdr:col>16</xdr:col>
      <xdr:colOff>360219</xdr:colOff>
      <xdr:row>41</xdr:row>
      <xdr:rowOff>0</xdr:rowOff>
    </xdr:to>
    <mc:AlternateContent xmlns:mc="http://schemas.openxmlformats.org/markup-compatibility/2006" xmlns:a14="http://schemas.microsoft.com/office/drawing/2010/main">
      <mc:Choice Requires="a14">
        <xdr:graphicFrame macro="">
          <xdr:nvGraphicFramePr>
            <xdr:cNvPr id="15" name="age">
              <a:extLst>
                <a:ext uri="{FF2B5EF4-FFF2-40B4-BE49-F238E27FC236}">
                  <a16:creationId xmlns:a16="http://schemas.microsoft.com/office/drawing/2014/main" id="{9FF88C85-2379-D838-AB4E-0C6258D920A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582199" y="4904509"/>
              <a:ext cx="1531620" cy="2479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480059</xdr:colOff>
      <xdr:row>20</xdr:row>
      <xdr:rowOff>110836</xdr:rowOff>
    </xdr:from>
    <xdr:to>
      <xdr:col>16</xdr:col>
      <xdr:colOff>346364</xdr:colOff>
      <xdr:row>26</xdr:row>
      <xdr:rowOff>110837</xdr:rowOff>
    </xdr:to>
    <mc:AlternateContent xmlns:mc="http://schemas.openxmlformats.org/markup-compatibility/2006" xmlns:a14="http://schemas.microsoft.com/office/drawing/2010/main">
      <mc:Choice Requires="a14">
        <xdr:graphicFrame macro="">
          <xdr:nvGraphicFramePr>
            <xdr:cNvPr id="16" name="Duration">
              <a:extLst>
                <a:ext uri="{FF2B5EF4-FFF2-40B4-BE49-F238E27FC236}">
                  <a16:creationId xmlns:a16="http://schemas.microsoft.com/office/drawing/2014/main" id="{6D97EB4C-2A0D-00D7-D549-6F8E451A895C}"/>
                </a:ext>
              </a:extLst>
            </xdr:cNvPr>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mlns="">
        <xdr:sp macro="" textlink="">
          <xdr:nvSpPr>
            <xdr:cNvPr id="0" name=""/>
            <xdr:cNvSpPr>
              <a:spLocks noTextEdit="1"/>
            </xdr:cNvSpPr>
          </xdr:nvSpPr>
          <xdr:spPr>
            <a:xfrm>
              <a:off x="6576059" y="3713018"/>
              <a:ext cx="3523905" cy="108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102139</xdr:colOff>
      <xdr:row>44</xdr:row>
      <xdr:rowOff>129614</xdr:rowOff>
    </xdr:from>
    <xdr:to>
      <xdr:col>13</xdr:col>
      <xdr:colOff>540327</xdr:colOff>
      <xdr:row>60</xdr:row>
      <xdr:rowOff>27710</xdr:rowOff>
    </xdr:to>
    <xdr:graphicFrame macro="">
      <xdr:nvGraphicFramePr>
        <xdr:cNvPr id="17" name="Chart 16">
          <a:extLst>
            <a:ext uri="{FF2B5EF4-FFF2-40B4-BE49-F238E27FC236}">
              <a16:creationId xmlns:a16="http://schemas.microsoft.com/office/drawing/2014/main" id="{F1FAC38A-4E1E-4118-B488-8C43F1A87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113733</xdr:colOff>
      <xdr:row>42</xdr:row>
      <xdr:rowOff>2223</xdr:rowOff>
    </xdr:from>
    <xdr:to>
      <xdr:col>27</xdr:col>
      <xdr:colOff>110836</xdr:colOff>
      <xdr:row>59</xdr:row>
      <xdr:rowOff>180108</xdr:rowOff>
    </xdr:to>
    <xdr:graphicFrame macro="">
      <xdr:nvGraphicFramePr>
        <xdr:cNvPr id="18" name="Chart 17">
          <a:extLst>
            <a:ext uri="{FF2B5EF4-FFF2-40B4-BE49-F238E27FC236}">
              <a16:creationId xmlns:a16="http://schemas.microsoft.com/office/drawing/2014/main" id="{2F67FD0B-2C01-47C9-A1D0-05E13224C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264458</xdr:colOff>
      <xdr:row>0</xdr:row>
      <xdr:rowOff>117823</xdr:rowOff>
    </xdr:from>
    <xdr:to>
      <xdr:col>42</xdr:col>
      <xdr:colOff>207818</xdr:colOff>
      <xdr:row>21</xdr:row>
      <xdr:rowOff>110835</xdr:rowOff>
    </xdr:to>
    <xdr:graphicFrame macro="">
      <xdr:nvGraphicFramePr>
        <xdr:cNvPr id="19" name="Chart 18">
          <a:extLst>
            <a:ext uri="{FF2B5EF4-FFF2-40B4-BE49-F238E27FC236}">
              <a16:creationId xmlns:a16="http://schemas.microsoft.com/office/drawing/2014/main" id="{ED279958-8EBB-46B8-A907-B5D1F8C4A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207817</xdr:colOff>
      <xdr:row>5</xdr:row>
      <xdr:rowOff>110837</xdr:rowOff>
    </xdr:from>
    <xdr:to>
      <xdr:col>32</xdr:col>
      <xdr:colOff>69272</xdr:colOff>
      <xdr:row>21</xdr:row>
      <xdr:rowOff>110836</xdr:rowOff>
    </xdr:to>
    <xdr:graphicFrame macro="">
      <xdr:nvGraphicFramePr>
        <xdr:cNvPr id="22" name="Chart 21">
          <a:extLst>
            <a:ext uri="{FF2B5EF4-FFF2-40B4-BE49-F238E27FC236}">
              <a16:creationId xmlns:a16="http://schemas.microsoft.com/office/drawing/2014/main" id="{D4663ABA-0FB1-4BA6-B9E5-E7C466106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61355</xdr:colOff>
      <xdr:row>0</xdr:row>
      <xdr:rowOff>86096</xdr:rowOff>
    </xdr:from>
    <xdr:to>
      <xdr:col>3</xdr:col>
      <xdr:colOff>498762</xdr:colOff>
      <xdr:row>5</xdr:row>
      <xdr:rowOff>27710</xdr:rowOff>
    </xdr:to>
    <xdr:sp macro="" textlink="">
      <xdr:nvSpPr>
        <xdr:cNvPr id="23" name="Rectangle: Rounded Corners 22">
          <a:extLst>
            <a:ext uri="{FF2B5EF4-FFF2-40B4-BE49-F238E27FC236}">
              <a16:creationId xmlns:a16="http://schemas.microsoft.com/office/drawing/2014/main" id="{AEBF2A55-E2BF-6B55-E281-453DD35B7D15}"/>
            </a:ext>
          </a:extLst>
        </xdr:cNvPr>
        <xdr:cNvSpPr/>
      </xdr:nvSpPr>
      <xdr:spPr>
        <a:xfrm>
          <a:off x="61355" y="86096"/>
          <a:ext cx="2266207" cy="842159"/>
        </a:xfrm>
        <a:prstGeom prst="roundRect">
          <a:avLst>
            <a:gd name="adj" fmla="val 29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228600</xdr:colOff>
      <xdr:row>37</xdr:row>
      <xdr:rowOff>5444</xdr:rowOff>
    </xdr:from>
    <xdr:to>
      <xdr:col>29</xdr:col>
      <xdr:colOff>274319</xdr:colOff>
      <xdr:row>37</xdr:row>
      <xdr:rowOff>51163</xdr:rowOff>
    </xdr:to>
    <xdr:sp macro="" textlink="">
      <xdr:nvSpPr>
        <xdr:cNvPr id="28" name="TextBox 27">
          <a:extLst>
            <a:ext uri="{FF2B5EF4-FFF2-40B4-BE49-F238E27FC236}">
              <a16:creationId xmlns:a16="http://schemas.microsoft.com/office/drawing/2014/main" id="{C2D84BD6-46FA-7D05-5674-D4F07D264A36}"/>
            </a:ext>
          </a:extLst>
        </xdr:cNvPr>
        <xdr:cNvSpPr txBox="1"/>
      </xdr:nvSpPr>
      <xdr:spPr>
        <a:xfrm>
          <a:off x="17907000" y="6852558"/>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307769</xdr:colOff>
      <xdr:row>0</xdr:row>
      <xdr:rowOff>86095</xdr:rowOff>
    </xdr:from>
    <xdr:to>
      <xdr:col>3</xdr:col>
      <xdr:colOff>590797</xdr:colOff>
      <xdr:row>2</xdr:row>
      <xdr:rowOff>118752</xdr:rowOff>
    </xdr:to>
    <xdr:sp macro="" textlink="">
      <xdr:nvSpPr>
        <xdr:cNvPr id="29" name="TextBox 28">
          <a:extLst>
            <a:ext uri="{FF2B5EF4-FFF2-40B4-BE49-F238E27FC236}">
              <a16:creationId xmlns:a16="http://schemas.microsoft.com/office/drawing/2014/main" id="{BBA9A796-5947-5034-7AE7-B5098CA2CEAE}"/>
            </a:ext>
          </a:extLst>
        </xdr:cNvPr>
        <xdr:cNvSpPr txBox="1"/>
      </xdr:nvSpPr>
      <xdr:spPr>
        <a:xfrm>
          <a:off x="307769" y="86095"/>
          <a:ext cx="2111828" cy="39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400" b="1"/>
            <a:t>Total</a:t>
          </a:r>
          <a:r>
            <a:rPr lang="en-IN" sz="2400" b="1" baseline="0"/>
            <a:t> </a:t>
          </a:r>
          <a:r>
            <a:rPr lang="en-IN" sz="2000" b="1" baseline="0"/>
            <a:t>Participant</a:t>
          </a:r>
          <a:endParaRPr lang="en-IN" sz="2400" b="1" baseline="0"/>
        </a:p>
        <a:p>
          <a:r>
            <a:rPr lang="en-IN" sz="2400" b="1" baseline="0"/>
            <a:t>                      </a:t>
          </a:r>
        </a:p>
      </xdr:txBody>
    </xdr:sp>
    <xdr:clientData/>
  </xdr:twoCellAnchor>
  <xdr:twoCellAnchor editAs="oneCell">
    <xdr:from>
      <xdr:col>0</xdr:col>
      <xdr:colOff>275112</xdr:colOff>
      <xdr:row>1</xdr:row>
      <xdr:rowOff>171205</xdr:rowOff>
    </xdr:from>
    <xdr:to>
      <xdr:col>1</xdr:col>
      <xdr:colOff>443345</xdr:colOff>
      <xdr:row>5</xdr:row>
      <xdr:rowOff>55419</xdr:rowOff>
    </xdr:to>
    <xdr:pic>
      <xdr:nvPicPr>
        <xdr:cNvPr id="31" name="Graphic 30" descr="Users with solid fill">
          <a:extLst>
            <a:ext uri="{FF2B5EF4-FFF2-40B4-BE49-F238E27FC236}">
              <a16:creationId xmlns:a16="http://schemas.microsoft.com/office/drawing/2014/main" id="{E58D0438-7A4F-4533-2395-8F2768E7735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5112" y="351314"/>
          <a:ext cx="777833" cy="604650"/>
        </a:xfrm>
        <a:prstGeom prst="rect">
          <a:avLst/>
        </a:prstGeom>
      </xdr:spPr>
    </xdr:pic>
    <xdr:clientData/>
  </xdr:twoCellAnchor>
  <xdr:twoCellAnchor>
    <xdr:from>
      <xdr:col>2</xdr:col>
      <xdr:colOff>113804</xdr:colOff>
      <xdr:row>1</xdr:row>
      <xdr:rowOff>134588</xdr:rowOff>
    </xdr:from>
    <xdr:to>
      <xdr:col>3</xdr:col>
      <xdr:colOff>211776</xdr:colOff>
      <xdr:row>4</xdr:row>
      <xdr:rowOff>178130</xdr:rowOff>
    </xdr:to>
    <xdr:sp macro="" textlink="">
      <xdr:nvSpPr>
        <xdr:cNvPr id="32" name="TextBox 31">
          <a:extLst>
            <a:ext uri="{FF2B5EF4-FFF2-40B4-BE49-F238E27FC236}">
              <a16:creationId xmlns:a16="http://schemas.microsoft.com/office/drawing/2014/main" id="{29B971D0-2D28-1FF0-6F85-2A4CA5A65DA4}"/>
            </a:ext>
          </a:extLst>
        </xdr:cNvPr>
        <xdr:cNvSpPr txBox="1"/>
      </xdr:nvSpPr>
      <xdr:spPr>
        <a:xfrm>
          <a:off x="1333004" y="314697"/>
          <a:ext cx="707572" cy="583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40</a:t>
          </a:r>
        </a:p>
      </xdr:txBody>
    </xdr:sp>
    <xdr:clientData/>
  </xdr:twoCellAnchor>
  <xdr:twoCellAnchor>
    <xdr:from>
      <xdr:col>12</xdr:col>
      <xdr:colOff>141515</xdr:colOff>
      <xdr:row>0</xdr:row>
      <xdr:rowOff>108856</xdr:rowOff>
    </xdr:from>
    <xdr:to>
      <xdr:col>15</xdr:col>
      <xdr:colOff>511629</xdr:colOff>
      <xdr:row>5</xdr:row>
      <xdr:rowOff>27710</xdr:rowOff>
    </xdr:to>
    <xdr:sp macro="" textlink="">
      <xdr:nvSpPr>
        <xdr:cNvPr id="33" name="Rectangle: Rounded Corners 32">
          <a:extLst>
            <a:ext uri="{FF2B5EF4-FFF2-40B4-BE49-F238E27FC236}">
              <a16:creationId xmlns:a16="http://schemas.microsoft.com/office/drawing/2014/main" id="{B531A0A5-DB59-4D44-B592-90D9ADA17BE5}"/>
            </a:ext>
          </a:extLst>
        </xdr:cNvPr>
        <xdr:cNvSpPr/>
      </xdr:nvSpPr>
      <xdr:spPr>
        <a:xfrm>
          <a:off x="7456715" y="108856"/>
          <a:ext cx="2198914" cy="819399"/>
        </a:xfrm>
        <a:prstGeom prst="roundRect">
          <a:avLst>
            <a:gd name="adj" fmla="val 29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108856</xdr:colOff>
      <xdr:row>0</xdr:row>
      <xdr:rowOff>108859</xdr:rowOff>
    </xdr:from>
    <xdr:to>
      <xdr:col>7</xdr:col>
      <xdr:colOff>568035</xdr:colOff>
      <xdr:row>5</xdr:row>
      <xdr:rowOff>55420</xdr:rowOff>
    </xdr:to>
    <xdr:sp macro="" textlink="">
      <xdr:nvSpPr>
        <xdr:cNvPr id="34" name="Rectangle: Rounded Corners 33">
          <a:extLst>
            <a:ext uri="{FF2B5EF4-FFF2-40B4-BE49-F238E27FC236}">
              <a16:creationId xmlns:a16="http://schemas.microsoft.com/office/drawing/2014/main" id="{82048FE6-B7A9-4857-8171-DD810C22DB67}"/>
            </a:ext>
          </a:extLst>
        </xdr:cNvPr>
        <xdr:cNvSpPr/>
      </xdr:nvSpPr>
      <xdr:spPr>
        <a:xfrm>
          <a:off x="2547256" y="108859"/>
          <a:ext cx="2287979" cy="847106"/>
        </a:xfrm>
        <a:prstGeom prst="roundRect">
          <a:avLst>
            <a:gd name="adj" fmla="val 29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58387</xdr:colOff>
      <xdr:row>0</xdr:row>
      <xdr:rowOff>130629</xdr:rowOff>
    </xdr:from>
    <xdr:to>
      <xdr:col>19</xdr:col>
      <xdr:colOff>428501</xdr:colOff>
      <xdr:row>5</xdr:row>
      <xdr:rowOff>13855</xdr:rowOff>
    </xdr:to>
    <xdr:sp macro="" textlink="">
      <xdr:nvSpPr>
        <xdr:cNvPr id="35" name="Rectangle: Rounded Corners 34">
          <a:extLst>
            <a:ext uri="{FF2B5EF4-FFF2-40B4-BE49-F238E27FC236}">
              <a16:creationId xmlns:a16="http://schemas.microsoft.com/office/drawing/2014/main" id="{8ABB952E-521E-4345-8B8B-9337DBC7971C}"/>
            </a:ext>
          </a:extLst>
        </xdr:cNvPr>
        <xdr:cNvSpPr/>
      </xdr:nvSpPr>
      <xdr:spPr>
        <a:xfrm>
          <a:off x="9811987" y="130629"/>
          <a:ext cx="2198914" cy="783771"/>
        </a:xfrm>
        <a:prstGeom prst="roundRect">
          <a:avLst>
            <a:gd name="adj" fmla="val 29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138545</xdr:colOff>
      <xdr:row>0</xdr:row>
      <xdr:rowOff>92034</xdr:rowOff>
    </xdr:from>
    <xdr:to>
      <xdr:col>11</xdr:col>
      <xdr:colOff>508659</xdr:colOff>
      <xdr:row>5</xdr:row>
      <xdr:rowOff>41565</xdr:rowOff>
    </xdr:to>
    <xdr:sp macro="" textlink="">
      <xdr:nvSpPr>
        <xdr:cNvPr id="36" name="Rectangle: Rounded Corners 35">
          <a:extLst>
            <a:ext uri="{FF2B5EF4-FFF2-40B4-BE49-F238E27FC236}">
              <a16:creationId xmlns:a16="http://schemas.microsoft.com/office/drawing/2014/main" id="{FA2EE9F0-1763-4A33-B1A4-0E3D6092F018}"/>
            </a:ext>
          </a:extLst>
        </xdr:cNvPr>
        <xdr:cNvSpPr/>
      </xdr:nvSpPr>
      <xdr:spPr>
        <a:xfrm>
          <a:off x="5015345" y="92034"/>
          <a:ext cx="2198914" cy="850076"/>
        </a:xfrm>
        <a:prstGeom prst="roundRect">
          <a:avLst>
            <a:gd name="adj" fmla="val 29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1980</xdr:colOff>
      <xdr:row>0</xdr:row>
      <xdr:rowOff>130628</xdr:rowOff>
    </xdr:from>
    <xdr:to>
      <xdr:col>23</xdr:col>
      <xdr:colOff>372094</xdr:colOff>
      <xdr:row>5</xdr:row>
      <xdr:rowOff>41564</xdr:rowOff>
    </xdr:to>
    <xdr:sp macro="" textlink="">
      <xdr:nvSpPr>
        <xdr:cNvPr id="37" name="Rectangle: Rounded Corners 36">
          <a:extLst>
            <a:ext uri="{FF2B5EF4-FFF2-40B4-BE49-F238E27FC236}">
              <a16:creationId xmlns:a16="http://schemas.microsoft.com/office/drawing/2014/main" id="{B9A1AF27-7D0E-4EE0-97F6-0BF51756D566}"/>
            </a:ext>
          </a:extLst>
        </xdr:cNvPr>
        <xdr:cNvSpPr/>
      </xdr:nvSpPr>
      <xdr:spPr>
        <a:xfrm>
          <a:off x="12193980" y="130628"/>
          <a:ext cx="2198914" cy="811481"/>
        </a:xfrm>
        <a:prstGeom prst="roundRect">
          <a:avLst>
            <a:gd name="adj" fmla="val 236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471055</xdr:colOff>
      <xdr:row>0</xdr:row>
      <xdr:rowOff>94014</xdr:rowOff>
    </xdr:from>
    <xdr:to>
      <xdr:col>27</xdr:col>
      <xdr:colOff>231569</xdr:colOff>
      <xdr:row>5</xdr:row>
      <xdr:rowOff>27710</xdr:rowOff>
    </xdr:to>
    <xdr:sp macro="" textlink="">
      <xdr:nvSpPr>
        <xdr:cNvPr id="38" name="Rectangle: Rounded Corners 37">
          <a:extLst>
            <a:ext uri="{FF2B5EF4-FFF2-40B4-BE49-F238E27FC236}">
              <a16:creationId xmlns:a16="http://schemas.microsoft.com/office/drawing/2014/main" id="{C7CC9627-EB3D-43C1-8CC6-15E7954E6E89}"/>
            </a:ext>
          </a:extLst>
        </xdr:cNvPr>
        <xdr:cNvSpPr/>
      </xdr:nvSpPr>
      <xdr:spPr>
        <a:xfrm>
          <a:off x="14491855" y="94014"/>
          <a:ext cx="2198914" cy="834241"/>
        </a:xfrm>
        <a:prstGeom prst="roundRect">
          <a:avLst>
            <a:gd name="adj" fmla="val 29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4</xdr:col>
      <xdr:colOff>272143</xdr:colOff>
      <xdr:row>0</xdr:row>
      <xdr:rowOff>141514</xdr:rowOff>
    </xdr:from>
    <xdr:to>
      <xdr:col>8</xdr:col>
      <xdr:colOff>43543</xdr:colOff>
      <xdr:row>3</xdr:row>
      <xdr:rowOff>130628</xdr:rowOff>
    </xdr:to>
    <xdr:sp macro="" textlink="">
      <xdr:nvSpPr>
        <xdr:cNvPr id="39" name="TextBox 38">
          <a:extLst>
            <a:ext uri="{FF2B5EF4-FFF2-40B4-BE49-F238E27FC236}">
              <a16:creationId xmlns:a16="http://schemas.microsoft.com/office/drawing/2014/main" id="{B84941F1-D9EA-EA0E-C507-1F3D823DF751}"/>
            </a:ext>
          </a:extLst>
        </xdr:cNvPr>
        <xdr:cNvSpPr txBox="1"/>
      </xdr:nvSpPr>
      <xdr:spPr>
        <a:xfrm>
          <a:off x="2710543" y="141514"/>
          <a:ext cx="2209800"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t>Total</a:t>
          </a:r>
          <a:r>
            <a:rPr lang="en-IN" sz="2000" b="1" baseline="0"/>
            <a:t> Mutual Funds</a:t>
          </a:r>
          <a:endParaRPr lang="en-IN" sz="2000" b="1"/>
        </a:p>
      </xdr:txBody>
    </xdr:sp>
    <xdr:clientData/>
  </xdr:twoCellAnchor>
  <xdr:twoCellAnchor editAs="oneCell">
    <xdr:from>
      <xdr:col>4</xdr:col>
      <xdr:colOff>330532</xdr:colOff>
      <xdr:row>1</xdr:row>
      <xdr:rowOff>176152</xdr:rowOff>
    </xdr:from>
    <xdr:to>
      <xdr:col>5</xdr:col>
      <xdr:colOff>496539</xdr:colOff>
      <xdr:row>5</xdr:row>
      <xdr:rowOff>61357</xdr:rowOff>
    </xdr:to>
    <xdr:pic>
      <xdr:nvPicPr>
        <xdr:cNvPr id="42" name="Graphic 41" descr="Business Growth with solid fill">
          <a:extLst>
            <a:ext uri="{FF2B5EF4-FFF2-40B4-BE49-F238E27FC236}">
              <a16:creationId xmlns:a16="http://schemas.microsoft.com/office/drawing/2014/main" id="{BF9230D2-3B8D-BAFD-5321-AA9582A9B84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68932" y="356261"/>
          <a:ext cx="775607" cy="605641"/>
        </a:xfrm>
        <a:prstGeom prst="rect">
          <a:avLst/>
        </a:prstGeom>
      </xdr:spPr>
    </xdr:pic>
    <xdr:clientData/>
  </xdr:twoCellAnchor>
  <xdr:twoCellAnchor>
    <xdr:from>
      <xdr:col>8</xdr:col>
      <xdr:colOff>185058</xdr:colOff>
      <xdr:row>0</xdr:row>
      <xdr:rowOff>130628</xdr:rowOff>
    </xdr:from>
    <xdr:to>
      <xdr:col>12</xdr:col>
      <xdr:colOff>10886</xdr:colOff>
      <xdr:row>2</xdr:row>
      <xdr:rowOff>163285</xdr:rowOff>
    </xdr:to>
    <xdr:sp macro="" textlink="">
      <xdr:nvSpPr>
        <xdr:cNvPr id="43" name="TextBox 42">
          <a:extLst>
            <a:ext uri="{FF2B5EF4-FFF2-40B4-BE49-F238E27FC236}">
              <a16:creationId xmlns:a16="http://schemas.microsoft.com/office/drawing/2014/main" id="{DFDCF6CA-84AB-148D-EECA-4D5B254EA04C}"/>
            </a:ext>
          </a:extLst>
        </xdr:cNvPr>
        <xdr:cNvSpPr txBox="1"/>
      </xdr:nvSpPr>
      <xdr:spPr>
        <a:xfrm>
          <a:off x="5061858" y="130628"/>
          <a:ext cx="2264228"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Equity Market</a:t>
          </a:r>
        </a:p>
      </xdr:txBody>
    </xdr:sp>
    <xdr:clientData/>
  </xdr:twoCellAnchor>
  <xdr:twoCellAnchor>
    <xdr:from>
      <xdr:col>12</xdr:col>
      <xdr:colOff>261257</xdr:colOff>
      <xdr:row>0</xdr:row>
      <xdr:rowOff>54428</xdr:rowOff>
    </xdr:from>
    <xdr:to>
      <xdr:col>15</xdr:col>
      <xdr:colOff>478971</xdr:colOff>
      <xdr:row>3</xdr:row>
      <xdr:rowOff>21771</xdr:rowOff>
    </xdr:to>
    <xdr:sp macro="" textlink="">
      <xdr:nvSpPr>
        <xdr:cNvPr id="44" name="TextBox 43">
          <a:extLst>
            <a:ext uri="{FF2B5EF4-FFF2-40B4-BE49-F238E27FC236}">
              <a16:creationId xmlns:a16="http://schemas.microsoft.com/office/drawing/2014/main" id="{0A760942-FCEC-F583-3E49-516263B4A5E1}"/>
            </a:ext>
          </a:extLst>
        </xdr:cNvPr>
        <xdr:cNvSpPr txBox="1"/>
      </xdr:nvSpPr>
      <xdr:spPr>
        <a:xfrm>
          <a:off x="7576457" y="54428"/>
          <a:ext cx="2046514"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a:t>
          </a:r>
          <a:r>
            <a:rPr lang="en-IN" sz="2000" b="1" i="0" u="none" strike="noStrike">
              <a:solidFill>
                <a:schemeClr val="dk1"/>
              </a:solidFill>
              <a:effectLst/>
              <a:latin typeface="+mn-lt"/>
              <a:ea typeface="+mn-ea"/>
              <a:cs typeface="+mn-cs"/>
            </a:rPr>
            <a:t>Debentures</a:t>
          </a:r>
          <a:r>
            <a:rPr lang="en-IN" sz="2000" b="1">
              <a:effectLst/>
            </a:rPr>
            <a:t> </a:t>
          </a:r>
          <a:endParaRPr lang="en-IN" sz="2000" b="1"/>
        </a:p>
      </xdr:txBody>
    </xdr:sp>
    <xdr:clientData/>
  </xdr:twoCellAnchor>
  <xdr:twoCellAnchor>
    <xdr:from>
      <xdr:col>16</xdr:col>
      <xdr:colOff>261258</xdr:colOff>
      <xdr:row>0</xdr:row>
      <xdr:rowOff>87083</xdr:rowOff>
    </xdr:from>
    <xdr:to>
      <xdr:col>19</xdr:col>
      <xdr:colOff>401782</xdr:colOff>
      <xdr:row>4</xdr:row>
      <xdr:rowOff>87083</xdr:rowOff>
    </xdr:to>
    <xdr:sp macro="" textlink="">
      <xdr:nvSpPr>
        <xdr:cNvPr id="45" name="TextBox 44">
          <a:extLst>
            <a:ext uri="{FF2B5EF4-FFF2-40B4-BE49-F238E27FC236}">
              <a16:creationId xmlns:a16="http://schemas.microsoft.com/office/drawing/2014/main" id="{703E34B3-5797-7E2B-5D90-9C72673C5927}"/>
            </a:ext>
          </a:extLst>
        </xdr:cNvPr>
        <xdr:cNvSpPr txBox="1"/>
      </xdr:nvSpPr>
      <xdr:spPr>
        <a:xfrm>
          <a:off x="10014858" y="87083"/>
          <a:ext cx="1969324" cy="72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a:t>
          </a:r>
          <a:r>
            <a:rPr lang="en-IN" sz="2000" b="1" i="0" u="none" strike="noStrike">
              <a:solidFill>
                <a:schemeClr val="dk1"/>
              </a:solidFill>
              <a:effectLst/>
              <a:latin typeface="+mn-lt"/>
              <a:ea typeface="+mn-ea"/>
              <a:cs typeface="+mn-cs"/>
            </a:rPr>
            <a:t>Govt.Bonds</a:t>
          </a:r>
          <a:r>
            <a:rPr lang="en-IN" sz="2000" b="1">
              <a:effectLst/>
            </a:rPr>
            <a:t> </a:t>
          </a:r>
          <a:endParaRPr lang="en-IN" sz="2000" b="1"/>
        </a:p>
      </xdr:txBody>
    </xdr:sp>
    <xdr:clientData/>
  </xdr:twoCellAnchor>
  <xdr:twoCellAnchor>
    <xdr:from>
      <xdr:col>19</xdr:col>
      <xdr:colOff>549234</xdr:colOff>
      <xdr:row>1</xdr:row>
      <xdr:rowOff>0</xdr:rowOff>
    </xdr:from>
    <xdr:to>
      <xdr:col>23</xdr:col>
      <xdr:colOff>494806</xdr:colOff>
      <xdr:row>4</xdr:row>
      <xdr:rowOff>0</xdr:rowOff>
    </xdr:to>
    <xdr:sp macro="" textlink="">
      <xdr:nvSpPr>
        <xdr:cNvPr id="46" name="TextBox 45">
          <a:extLst>
            <a:ext uri="{FF2B5EF4-FFF2-40B4-BE49-F238E27FC236}">
              <a16:creationId xmlns:a16="http://schemas.microsoft.com/office/drawing/2014/main" id="{57251F69-67A7-6DDE-2A8F-BC0E8878B11C}"/>
            </a:ext>
          </a:extLst>
        </xdr:cNvPr>
        <xdr:cNvSpPr txBox="1"/>
      </xdr:nvSpPr>
      <xdr:spPr>
        <a:xfrm>
          <a:off x="12131634" y="180109"/>
          <a:ext cx="2383972"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a:t>
          </a:r>
          <a:r>
            <a:rPr lang="en-IN" sz="2000" b="1" i="0" u="none" strike="noStrike">
              <a:solidFill>
                <a:schemeClr val="dk1"/>
              </a:solidFill>
              <a:effectLst/>
              <a:latin typeface="+mn-lt"/>
              <a:ea typeface="+mn-ea"/>
              <a:cs typeface="+mn-cs"/>
            </a:rPr>
            <a:t>Fixed_Deposits</a:t>
          </a:r>
          <a:r>
            <a:rPr lang="en-IN" sz="2000" b="1">
              <a:effectLst/>
            </a:rPr>
            <a:t> </a:t>
          </a:r>
          <a:endParaRPr lang="en-IN" sz="2000" b="1"/>
        </a:p>
      </xdr:txBody>
    </xdr:sp>
    <xdr:clientData/>
  </xdr:twoCellAnchor>
  <xdr:twoCellAnchor>
    <xdr:from>
      <xdr:col>24</xdr:col>
      <xdr:colOff>210787</xdr:colOff>
      <xdr:row>0</xdr:row>
      <xdr:rowOff>30678</xdr:rowOff>
    </xdr:from>
    <xdr:to>
      <xdr:col>26</xdr:col>
      <xdr:colOff>461158</xdr:colOff>
      <xdr:row>2</xdr:row>
      <xdr:rowOff>91044</xdr:rowOff>
    </xdr:to>
    <xdr:sp macro="" textlink="">
      <xdr:nvSpPr>
        <xdr:cNvPr id="47" name="TextBox 46">
          <a:extLst>
            <a:ext uri="{FF2B5EF4-FFF2-40B4-BE49-F238E27FC236}">
              <a16:creationId xmlns:a16="http://schemas.microsoft.com/office/drawing/2014/main" id="{93F99EB8-0367-283D-39D2-1DEB79E98785}"/>
            </a:ext>
          </a:extLst>
        </xdr:cNvPr>
        <xdr:cNvSpPr txBox="1"/>
      </xdr:nvSpPr>
      <xdr:spPr>
        <a:xfrm>
          <a:off x="14841187" y="30678"/>
          <a:ext cx="1469571" cy="420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PPF</a:t>
          </a:r>
        </a:p>
      </xdr:txBody>
    </xdr:sp>
    <xdr:clientData/>
  </xdr:twoCellAnchor>
  <xdr:twoCellAnchor>
    <xdr:from>
      <xdr:col>27</xdr:col>
      <xdr:colOff>327560</xdr:colOff>
      <xdr:row>0</xdr:row>
      <xdr:rowOff>96984</xdr:rowOff>
    </xdr:from>
    <xdr:to>
      <xdr:col>31</xdr:col>
      <xdr:colOff>88074</xdr:colOff>
      <xdr:row>5</xdr:row>
      <xdr:rowOff>13855</xdr:rowOff>
    </xdr:to>
    <xdr:sp macro="" textlink="">
      <xdr:nvSpPr>
        <xdr:cNvPr id="48" name="Rectangle: Rounded Corners 47">
          <a:extLst>
            <a:ext uri="{FF2B5EF4-FFF2-40B4-BE49-F238E27FC236}">
              <a16:creationId xmlns:a16="http://schemas.microsoft.com/office/drawing/2014/main" id="{9F3398ED-4E32-4ABC-A8B7-583DACFAD736}"/>
            </a:ext>
          </a:extLst>
        </xdr:cNvPr>
        <xdr:cNvSpPr/>
      </xdr:nvSpPr>
      <xdr:spPr>
        <a:xfrm>
          <a:off x="16786760" y="96984"/>
          <a:ext cx="2198914" cy="817416"/>
        </a:xfrm>
        <a:prstGeom prst="roundRect">
          <a:avLst>
            <a:gd name="adj" fmla="val 29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63335</xdr:colOff>
      <xdr:row>0</xdr:row>
      <xdr:rowOff>0</xdr:rowOff>
    </xdr:from>
    <xdr:to>
      <xdr:col>30</xdr:col>
      <xdr:colOff>509648</xdr:colOff>
      <xdr:row>2</xdr:row>
      <xdr:rowOff>114794</xdr:rowOff>
    </xdr:to>
    <xdr:sp macro="" textlink="">
      <xdr:nvSpPr>
        <xdr:cNvPr id="49" name="TextBox 48">
          <a:extLst>
            <a:ext uri="{FF2B5EF4-FFF2-40B4-BE49-F238E27FC236}">
              <a16:creationId xmlns:a16="http://schemas.microsoft.com/office/drawing/2014/main" id="{40A62967-9BA2-5079-6CAA-51D7DDA543EF}"/>
            </a:ext>
          </a:extLst>
        </xdr:cNvPr>
        <xdr:cNvSpPr txBox="1"/>
      </xdr:nvSpPr>
      <xdr:spPr>
        <a:xfrm>
          <a:off x="17132135" y="0"/>
          <a:ext cx="1665513" cy="475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Gold</a:t>
          </a:r>
        </a:p>
      </xdr:txBody>
    </xdr:sp>
    <xdr:clientData/>
  </xdr:twoCellAnchor>
  <xdr:twoCellAnchor editAs="oneCell">
    <xdr:from>
      <xdr:col>8</xdr:col>
      <xdr:colOff>337457</xdr:colOff>
      <xdr:row>2</xdr:row>
      <xdr:rowOff>65316</xdr:rowOff>
    </xdr:from>
    <xdr:to>
      <xdr:col>9</xdr:col>
      <xdr:colOff>391885</xdr:colOff>
      <xdr:row>5</xdr:row>
      <xdr:rowOff>1</xdr:rowOff>
    </xdr:to>
    <xdr:pic>
      <xdr:nvPicPr>
        <xdr:cNvPr id="51" name="Graphic 50" descr="Bar graph with upward trend with solid fill">
          <a:extLst>
            <a:ext uri="{FF2B5EF4-FFF2-40B4-BE49-F238E27FC236}">
              <a16:creationId xmlns:a16="http://schemas.microsoft.com/office/drawing/2014/main" id="{1132F519-FE2C-5C7F-EF04-5AC962C79FE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214257" y="425534"/>
          <a:ext cx="664028" cy="475012"/>
        </a:xfrm>
        <a:prstGeom prst="rect">
          <a:avLst/>
        </a:prstGeom>
      </xdr:spPr>
    </xdr:pic>
    <xdr:clientData/>
  </xdr:twoCellAnchor>
  <xdr:twoCellAnchor editAs="oneCell">
    <xdr:from>
      <xdr:col>12</xdr:col>
      <xdr:colOff>326572</xdr:colOff>
      <xdr:row>1</xdr:row>
      <xdr:rowOff>174174</xdr:rowOff>
    </xdr:from>
    <xdr:to>
      <xdr:col>13</xdr:col>
      <xdr:colOff>290945</xdr:colOff>
      <xdr:row>4</xdr:row>
      <xdr:rowOff>83128</xdr:rowOff>
    </xdr:to>
    <xdr:pic>
      <xdr:nvPicPr>
        <xdr:cNvPr id="53" name="Graphic 52" descr="Bullseye with solid fill">
          <a:extLst>
            <a:ext uri="{FF2B5EF4-FFF2-40B4-BE49-F238E27FC236}">
              <a16:creationId xmlns:a16="http://schemas.microsoft.com/office/drawing/2014/main" id="{ABA2064C-A7A5-FB05-19DD-AF613223E9D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641772" y="354283"/>
          <a:ext cx="573973" cy="449281"/>
        </a:xfrm>
        <a:prstGeom prst="rect">
          <a:avLst/>
        </a:prstGeom>
      </xdr:spPr>
    </xdr:pic>
    <xdr:clientData/>
  </xdr:twoCellAnchor>
  <xdr:twoCellAnchor editAs="oneCell">
    <xdr:from>
      <xdr:col>16</xdr:col>
      <xdr:colOff>337457</xdr:colOff>
      <xdr:row>2</xdr:row>
      <xdr:rowOff>97970</xdr:rowOff>
    </xdr:from>
    <xdr:to>
      <xdr:col>17</xdr:col>
      <xdr:colOff>304800</xdr:colOff>
      <xdr:row>4</xdr:row>
      <xdr:rowOff>166255</xdr:rowOff>
    </xdr:to>
    <xdr:pic>
      <xdr:nvPicPr>
        <xdr:cNvPr id="55" name="Graphic 54" descr="Cheers with solid fill">
          <a:extLst>
            <a:ext uri="{FF2B5EF4-FFF2-40B4-BE49-F238E27FC236}">
              <a16:creationId xmlns:a16="http://schemas.microsoft.com/office/drawing/2014/main" id="{3314E567-4DED-C116-8BA0-20407BFDA0E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091057" y="458188"/>
          <a:ext cx="576943" cy="428503"/>
        </a:xfrm>
        <a:prstGeom prst="rect">
          <a:avLst/>
        </a:prstGeom>
      </xdr:spPr>
    </xdr:pic>
    <xdr:clientData/>
  </xdr:twoCellAnchor>
  <xdr:twoCellAnchor editAs="oneCell">
    <xdr:from>
      <xdr:col>20</xdr:col>
      <xdr:colOff>359229</xdr:colOff>
      <xdr:row>2</xdr:row>
      <xdr:rowOff>76201</xdr:rowOff>
    </xdr:from>
    <xdr:to>
      <xdr:col>21</xdr:col>
      <xdr:colOff>391886</xdr:colOff>
      <xdr:row>4</xdr:row>
      <xdr:rowOff>152400</xdr:rowOff>
    </xdr:to>
    <xdr:pic>
      <xdr:nvPicPr>
        <xdr:cNvPr id="57" name="Graphic 56" descr="Boardroom with solid fill">
          <a:extLst>
            <a:ext uri="{FF2B5EF4-FFF2-40B4-BE49-F238E27FC236}">
              <a16:creationId xmlns:a16="http://schemas.microsoft.com/office/drawing/2014/main" id="{149186D6-BF49-07AD-CD55-DCCD9824A60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551229" y="436419"/>
          <a:ext cx="642257" cy="436417"/>
        </a:xfrm>
        <a:prstGeom prst="rect">
          <a:avLst/>
        </a:prstGeom>
      </xdr:spPr>
    </xdr:pic>
    <xdr:clientData/>
  </xdr:twoCellAnchor>
  <xdr:twoCellAnchor editAs="oneCell">
    <xdr:from>
      <xdr:col>28</xdr:col>
      <xdr:colOff>13855</xdr:colOff>
      <xdr:row>1</xdr:row>
      <xdr:rowOff>153711</xdr:rowOff>
    </xdr:from>
    <xdr:to>
      <xdr:col>29</xdr:col>
      <xdr:colOff>13854</xdr:colOff>
      <xdr:row>4</xdr:row>
      <xdr:rowOff>69275</xdr:rowOff>
    </xdr:to>
    <xdr:pic>
      <xdr:nvPicPr>
        <xdr:cNvPr id="59" name="Graphic 58" descr="Downward trend graph with solid fill">
          <a:extLst>
            <a:ext uri="{FF2B5EF4-FFF2-40B4-BE49-F238E27FC236}">
              <a16:creationId xmlns:a16="http://schemas.microsoft.com/office/drawing/2014/main" id="{2F70C4F5-1A96-C676-94B4-A27E50ADF71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7082655" y="333820"/>
          <a:ext cx="609599" cy="455891"/>
        </a:xfrm>
        <a:prstGeom prst="rect">
          <a:avLst/>
        </a:prstGeom>
      </xdr:spPr>
    </xdr:pic>
    <xdr:clientData/>
  </xdr:twoCellAnchor>
  <xdr:twoCellAnchor editAs="oneCell">
    <xdr:from>
      <xdr:col>24</xdr:col>
      <xdr:colOff>98962</xdr:colOff>
      <xdr:row>1</xdr:row>
      <xdr:rowOff>133596</xdr:rowOff>
    </xdr:from>
    <xdr:to>
      <xdr:col>25</xdr:col>
      <xdr:colOff>186048</xdr:colOff>
      <xdr:row>5</xdr:row>
      <xdr:rowOff>90054</xdr:rowOff>
    </xdr:to>
    <xdr:pic>
      <xdr:nvPicPr>
        <xdr:cNvPr id="61" name="Graphic 60" descr="Handshake with solid fill">
          <a:extLst>
            <a:ext uri="{FF2B5EF4-FFF2-40B4-BE49-F238E27FC236}">
              <a16:creationId xmlns:a16="http://schemas.microsoft.com/office/drawing/2014/main" id="{41DE2100-1BF5-D948-4F76-232DB547F119}"/>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729362" y="313705"/>
          <a:ext cx="696686" cy="676894"/>
        </a:xfrm>
        <a:prstGeom prst="rect">
          <a:avLst/>
        </a:prstGeom>
      </xdr:spPr>
    </xdr:pic>
    <xdr:clientData/>
  </xdr:twoCellAnchor>
  <xdr:oneCellAnchor>
    <xdr:from>
      <xdr:col>9</xdr:col>
      <xdr:colOff>402771</xdr:colOff>
      <xdr:row>51</xdr:row>
      <xdr:rowOff>54429</xdr:rowOff>
    </xdr:from>
    <xdr:ext cx="184731" cy="264560"/>
    <xdr:sp macro="" textlink="">
      <xdr:nvSpPr>
        <xdr:cNvPr id="62" name="TextBox 61">
          <a:extLst>
            <a:ext uri="{FF2B5EF4-FFF2-40B4-BE49-F238E27FC236}">
              <a16:creationId xmlns:a16="http://schemas.microsoft.com/office/drawing/2014/main" id="{812924A0-52A8-95DD-7210-F5397C9214CA}"/>
            </a:ext>
          </a:extLst>
        </xdr:cNvPr>
        <xdr:cNvSpPr txBox="1"/>
      </xdr:nvSpPr>
      <xdr:spPr>
        <a:xfrm>
          <a:off x="5889171" y="94923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67292</xdr:colOff>
      <xdr:row>1</xdr:row>
      <xdr:rowOff>151409</xdr:rowOff>
    </xdr:from>
    <xdr:to>
      <xdr:col>7</xdr:col>
      <xdr:colOff>317663</xdr:colOff>
      <xdr:row>4</xdr:row>
      <xdr:rowOff>129638</xdr:rowOff>
    </xdr:to>
    <xdr:sp macro="" textlink="">
      <xdr:nvSpPr>
        <xdr:cNvPr id="63" name="TextBox 62">
          <a:extLst>
            <a:ext uri="{FF2B5EF4-FFF2-40B4-BE49-F238E27FC236}">
              <a16:creationId xmlns:a16="http://schemas.microsoft.com/office/drawing/2014/main" id="{F99CC80F-5EBE-58EE-844F-F8774D28AA5B}"/>
            </a:ext>
          </a:extLst>
        </xdr:cNvPr>
        <xdr:cNvSpPr txBox="1"/>
      </xdr:nvSpPr>
      <xdr:spPr>
        <a:xfrm>
          <a:off x="3724892" y="331518"/>
          <a:ext cx="859971" cy="51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102</a:t>
          </a:r>
        </a:p>
      </xdr:txBody>
    </xdr:sp>
    <xdr:clientData/>
  </xdr:twoCellAnchor>
  <xdr:twoCellAnchor>
    <xdr:from>
      <xdr:col>14</xdr:col>
      <xdr:colOff>56407</xdr:colOff>
      <xdr:row>1</xdr:row>
      <xdr:rowOff>112816</xdr:rowOff>
    </xdr:from>
    <xdr:to>
      <xdr:col>15</xdr:col>
      <xdr:colOff>274121</xdr:colOff>
      <xdr:row>4</xdr:row>
      <xdr:rowOff>69273</xdr:rowOff>
    </xdr:to>
    <xdr:sp macro="" textlink="">
      <xdr:nvSpPr>
        <xdr:cNvPr id="64" name="TextBox 63">
          <a:extLst>
            <a:ext uri="{FF2B5EF4-FFF2-40B4-BE49-F238E27FC236}">
              <a16:creationId xmlns:a16="http://schemas.microsoft.com/office/drawing/2014/main" id="{CBA0DF2E-4E23-F3BC-31C6-D7E8DE114592}"/>
            </a:ext>
          </a:extLst>
        </xdr:cNvPr>
        <xdr:cNvSpPr txBox="1"/>
      </xdr:nvSpPr>
      <xdr:spPr>
        <a:xfrm>
          <a:off x="8590807" y="292925"/>
          <a:ext cx="827314" cy="49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230</a:t>
          </a:r>
        </a:p>
      </xdr:txBody>
    </xdr:sp>
    <xdr:clientData/>
  </xdr:twoCellAnchor>
  <xdr:twoCellAnchor>
    <xdr:from>
      <xdr:col>10</xdr:col>
      <xdr:colOff>153391</xdr:colOff>
      <xdr:row>1</xdr:row>
      <xdr:rowOff>170214</xdr:rowOff>
    </xdr:from>
    <xdr:to>
      <xdr:col>11</xdr:col>
      <xdr:colOff>469077</xdr:colOff>
      <xdr:row>4</xdr:row>
      <xdr:rowOff>170213</xdr:rowOff>
    </xdr:to>
    <xdr:sp macro="" textlink="">
      <xdr:nvSpPr>
        <xdr:cNvPr id="65" name="TextBox 64">
          <a:extLst>
            <a:ext uri="{FF2B5EF4-FFF2-40B4-BE49-F238E27FC236}">
              <a16:creationId xmlns:a16="http://schemas.microsoft.com/office/drawing/2014/main" id="{2200E0BB-ABE9-619F-C2D0-860AACCE396D}"/>
            </a:ext>
          </a:extLst>
        </xdr:cNvPr>
        <xdr:cNvSpPr txBox="1"/>
      </xdr:nvSpPr>
      <xdr:spPr>
        <a:xfrm>
          <a:off x="6249391" y="350323"/>
          <a:ext cx="925286" cy="540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139</a:t>
          </a:r>
        </a:p>
      </xdr:txBody>
    </xdr:sp>
    <xdr:clientData/>
  </xdr:twoCellAnchor>
  <xdr:oneCellAnchor>
    <xdr:from>
      <xdr:col>11</xdr:col>
      <xdr:colOff>228600</xdr:colOff>
      <xdr:row>50</xdr:row>
      <xdr:rowOff>108857</xdr:rowOff>
    </xdr:from>
    <xdr:ext cx="184731" cy="264560"/>
    <xdr:sp macro="" textlink="">
      <xdr:nvSpPr>
        <xdr:cNvPr id="66" name="TextBox 65">
          <a:extLst>
            <a:ext uri="{FF2B5EF4-FFF2-40B4-BE49-F238E27FC236}">
              <a16:creationId xmlns:a16="http://schemas.microsoft.com/office/drawing/2014/main" id="{3D03E186-6181-E1F1-01A8-485FB379752F}"/>
            </a:ext>
          </a:extLst>
        </xdr:cNvPr>
        <xdr:cNvSpPr txBox="1"/>
      </xdr:nvSpPr>
      <xdr:spPr>
        <a:xfrm>
          <a:off x="6934200" y="9361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17</xdr:col>
      <xdr:colOff>581891</xdr:colOff>
      <xdr:row>1</xdr:row>
      <xdr:rowOff>139536</xdr:rowOff>
    </xdr:from>
    <xdr:to>
      <xdr:col>19</xdr:col>
      <xdr:colOff>211776</xdr:colOff>
      <xdr:row>4</xdr:row>
      <xdr:rowOff>24740</xdr:rowOff>
    </xdr:to>
    <xdr:sp macro="" textlink="">
      <xdr:nvSpPr>
        <xdr:cNvPr id="67" name="TextBox 66">
          <a:extLst>
            <a:ext uri="{FF2B5EF4-FFF2-40B4-BE49-F238E27FC236}">
              <a16:creationId xmlns:a16="http://schemas.microsoft.com/office/drawing/2014/main" id="{FB5AD3CD-EB28-A7AB-1083-FF7B1DDB4FD0}"/>
            </a:ext>
          </a:extLst>
        </xdr:cNvPr>
        <xdr:cNvSpPr txBox="1"/>
      </xdr:nvSpPr>
      <xdr:spPr>
        <a:xfrm>
          <a:off x="10945091" y="319645"/>
          <a:ext cx="849085" cy="425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186</a:t>
          </a:r>
        </a:p>
      </xdr:txBody>
    </xdr:sp>
    <xdr:clientData/>
  </xdr:twoCellAnchor>
  <xdr:twoCellAnchor>
    <xdr:from>
      <xdr:col>22</xdr:col>
      <xdr:colOff>125679</xdr:colOff>
      <xdr:row>2</xdr:row>
      <xdr:rowOff>13856</xdr:rowOff>
    </xdr:from>
    <xdr:to>
      <xdr:col>23</xdr:col>
      <xdr:colOff>376052</xdr:colOff>
      <xdr:row>5</xdr:row>
      <xdr:rowOff>0</xdr:rowOff>
    </xdr:to>
    <xdr:sp macro="" textlink="">
      <xdr:nvSpPr>
        <xdr:cNvPr id="68" name="TextBox 67">
          <a:extLst>
            <a:ext uri="{FF2B5EF4-FFF2-40B4-BE49-F238E27FC236}">
              <a16:creationId xmlns:a16="http://schemas.microsoft.com/office/drawing/2014/main" id="{EAFC03FD-A837-4E17-87C0-95C94DFB8122}"/>
            </a:ext>
          </a:extLst>
        </xdr:cNvPr>
        <xdr:cNvSpPr txBox="1"/>
      </xdr:nvSpPr>
      <xdr:spPr>
        <a:xfrm>
          <a:off x="13536879" y="374074"/>
          <a:ext cx="859973" cy="52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143</a:t>
          </a:r>
        </a:p>
      </xdr:txBody>
    </xdr:sp>
    <xdr:clientData/>
  </xdr:twoCellAnchor>
  <xdr:twoCellAnchor>
    <xdr:from>
      <xdr:col>25</xdr:col>
      <xdr:colOff>415636</xdr:colOff>
      <xdr:row>1</xdr:row>
      <xdr:rowOff>161308</xdr:rowOff>
    </xdr:from>
    <xdr:to>
      <xdr:col>26</xdr:col>
      <xdr:colOff>426521</xdr:colOff>
      <xdr:row>4</xdr:row>
      <xdr:rowOff>85107</xdr:rowOff>
    </xdr:to>
    <xdr:sp macro="" textlink="">
      <xdr:nvSpPr>
        <xdr:cNvPr id="69" name="TextBox 68">
          <a:extLst>
            <a:ext uri="{FF2B5EF4-FFF2-40B4-BE49-F238E27FC236}">
              <a16:creationId xmlns:a16="http://schemas.microsoft.com/office/drawing/2014/main" id="{393A9675-0BA9-E2D1-9EBA-1B7E84F06EE9}"/>
            </a:ext>
          </a:extLst>
        </xdr:cNvPr>
        <xdr:cNvSpPr txBox="1"/>
      </xdr:nvSpPr>
      <xdr:spPr>
        <a:xfrm>
          <a:off x="15655636" y="341417"/>
          <a:ext cx="620485" cy="464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81</a:t>
          </a:r>
        </a:p>
      </xdr:txBody>
    </xdr:sp>
    <xdr:clientData/>
  </xdr:twoCellAnchor>
  <xdr:twoCellAnchor>
    <xdr:from>
      <xdr:col>29</xdr:col>
      <xdr:colOff>143492</xdr:colOff>
      <xdr:row>1</xdr:row>
      <xdr:rowOff>177142</xdr:rowOff>
    </xdr:from>
    <xdr:to>
      <xdr:col>30</xdr:col>
      <xdr:colOff>415635</xdr:colOff>
      <xdr:row>4</xdr:row>
      <xdr:rowOff>155370</xdr:rowOff>
    </xdr:to>
    <xdr:sp macro="" textlink="">
      <xdr:nvSpPr>
        <xdr:cNvPr id="70" name="TextBox 69">
          <a:extLst>
            <a:ext uri="{FF2B5EF4-FFF2-40B4-BE49-F238E27FC236}">
              <a16:creationId xmlns:a16="http://schemas.microsoft.com/office/drawing/2014/main" id="{4820E9B4-6945-2DCC-4618-CF08147C3A75}"/>
            </a:ext>
          </a:extLst>
        </xdr:cNvPr>
        <xdr:cNvSpPr txBox="1"/>
      </xdr:nvSpPr>
      <xdr:spPr>
        <a:xfrm>
          <a:off x="17821892" y="357251"/>
          <a:ext cx="881743" cy="51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293</a:t>
          </a:r>
        </a:p>
      </xdr:txBody>
    </xdr:sp>
    <xdr:clientData/>
  </xdr:twoCellAnchor>
  <xdr:twoCellAnchor>
    <xdr:from>
      <xdr:col>20</xdr:col>
      <xdr:colOff>55417</xdr:colOff>
      <xdr:row>22</xdr:row>
      <xdr:rowOff>41564</xdr:rowOff>
    </xdr:from>
    <xdr:to>
      <xdr:col>31</xdr:col>
      <xdr:colOff>595744</xdr:colOff>
      <xdr:row>41</xdr:row>
      <xdr:rowOff>96982</xdr:rowOff>
    </xdr:to>
    <xdr:graphicFrame macro="">
      <xdr:nvGraphicFramePr>
        <xdr:cNvPr id="5" name="Chart 4">
          <a:extLst>
            <a:ext uri="{FF2B5EF4-FFF2-40B4-BE49-F238E27FC236}">
              <a16:creationId xmlns:a16="http://schemas.microsoft.com/office/drawing/2014/main" id="{6BAE0FCB-976B-4E38-BA64-FD7DE0FBC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Excel\Project\Task%20-%205%20(2).xlsx" TargetMode="External"/><Relationship Id="rId1" Type="http://schemas.openxmlformats.org/officeDocument/2006/relationships/externalLinkPath" Target="Task%20-%205%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 1"/>
      <sheetName val="Scatter Chart"/>
      <sheetName val="Bubble Chart"/>
    </sheetNames>
    <sheetDataSet>
      <sheetData sheetId="0">
        <row r="2">
          <cell r="Z2" t="str">
            <v>Female</v>
          </cell>
          <cell r="AA2" t="str">
            <v>1-3 years</v>
          </cell>
          <cell r="AB2" t="str">
            <v>20%-30%</v>
          </cell>
        </row>
        <row r="3">
          <cell r="Z3" t="str">
            <v>Female</v>
          </cell>
          <cell r="AA3" t="str">
            <v>More than 5 years</v>
          </cell>
          <cell r="AB3" t="str">
            <v>20%-30%</v>
          </cell>
        </row>
        <row r="4">
          <cell r="Z4" t="str">
            <v>Male</v>
          </cell>
          <cell r="AA4" t="str">
            <v>3-5 years</v>
          </cell>
          <cell r="AB4" t="str">
            <v>20%-30%</v>
          </cell>
        </row>
        <row r="5">
          <cell r="Z5" t="str">
            <v>Male</v>
          </cell>
          <cell r="AA5" t="str">
            <v>Less than 1 year</v>
          </cell>
          <cell r="AB5" t="str">
            <v>10%-20%</v>
          </cell>
        </row>
        <row r="6">
          <cell r="Z6" t="str">
            <v>Female</v>
          </cell>
          <cell r="AA6" t="str">
            <v>Less than 1 year</v>
          </cell>
          <cell r="AB6" t="str">
            <v>20%-30%</v>
          </cell>
        </row>
        <row r="7">
          <cell r="Z7" t="str">
            <v>Female</v>
          </cell>
          <cell r="AA7" t="str">
            <v>1-3 years</v>
          </cell>
          <cell r="AB7" t="str">
            <v>30%-40%</v>
          </cell>
        </row>
        <row r="8">
          <cell r="Z8" t="str">
            <v>Female</v>
          </cell>
          <cell r="AA8" t="str">
            <v>3-5 years</v>
          </cell>
          <cell r="AB8" t="str">
            <v>20%-30%</v>
          </cell>
        </row>
        <row r="9">
          <cell r="Z9" t="str">
            <v>Male</v>
          </cell>
          <cell r="AA9" t="str">
            <v>3-5 years</v>
          </cell>
          <cell r="AB9" t="str">
            <v>20%-30%</v>
          </cell>
        </row>
        <row r="10">
          <cell r="Z10" t="str">
            <v>Male</v>
          </cell>
          <cell r="AA10" t="str">
            <v>1-3 years</v>
          </cell>
          <cell r="AB10" t="str">
            <v>20%-30%</v>
          </cell>
        </row>
        <row r="11">
          <cell r="Z11" t="str">
            <v>Male</v>
          </cell>
          <cell r="AA11" t="str">
            <v>3-5 years</v>
          </cell>
          <cell r="AB11" t="str">
            <v>30%-40%</v>
          </cell>
        </row>
        <row r="12">
          <cell r="Z12" t="str">
            <v>Female</v>
          </cell>
          <cell r="AA12" t="str">
            <v>3-5 years</v>
          </cell>
          <cell r="AB12" t="str">
            <v>20%-30%</v>
          </cell>
        </row>
        <row r="13">
          <cell r="Z13" t="str">
            <v>Male</v>
          </cell>
          <cell r="AA13" t="str">
            <v>1-3 years</v>
          </cell>
          <cell r="AB13" t="str">
            <v>20%-30%</v>
          </cell>
        </row>
        <row r="14">
          <cell r="Z14" t="str">
            <v>Female</v>
          </cell>
          <cell r="AA14" t="str">
            <v>1-3 years</v>
          </cell>
          <cell r="AB14" t="str">
            <v>20%-30%</v>
          </cell>
        </row>
        <row r="15">
          <cell r="Z15" t="str">
            <v>Female</v>
          </cell>
          <cell r="AA15" t="str">
            <v>1-3 years</v>
          </cell>
          <cell r="AB15" t="str">
            <v>20%-30%</v>
          </cell>
        </row>
        <row r="16">
          <cell r="Z16" t="str">
            <v>Female</v>
          </cell>
          <cell r="AA16" t="str">
            <v>1-3 years</v>
          </cell>
          <cell r="AB16" t="str">
            <v>20%-30%</v>
          </cell>
        </row>
        <row r="17">
          <cell r="Z17" t="str">
            <v>Male</v>
          </cell>
          <cell r="AA17" t="str">
            <v>1-3 years</v>
          </cell>
          <cell r="AB17" t="str">
            <v>20%-30%</v>
          </cell>
        </row>
        <row r="18">
          <cell r="Z18" t="str">
            <v>Female</v>
          </cell>
          <cell r="AA18" t="str">
            <v>1-3 years</v>
          </cell>
          <cell r="AB18" t="str">
            <v>20%-30%</v>
          </cell>
        </row>
        <row r="19">
          <cell r="Z19" t="str">
            <v>Male</v>
          </cell>
          <cell r="AA19" t="str">
            <v>1-3 years</v>
          </cell>
          <cell r="AB19" t="str">
            <v>20%-30%</v>
          </cell>
        </row>
        <row r="20">
          <cell r="Z20" t="str">
            <v>Male</v>
          </cell>
          <cell r="AA20" t="str">
            <v>1-3 years</v>
          </cell>
          <cell r="AB20" t="str">
            <v>20%-30%</v>
          </cell>
        </row>
        <row r="21">
          <cell r="Z21" t="str">
            <v>Male</v>
          </cell>
          <cell r="AA21" t="str">
            <v>3-5 years</v>
          </cell>
          <cell r="AB21" t="str">
            <v>20%-30%</v>
          </cell>
        </row>
        <row r="22">
          <cell r="Z22" t="str">
            <v>Male</v>
          </cell>
          <cell r="AA22" t="str">
            <v>3-5 years</v>
          </cell>
          <cell r="AB22" t="str">
            <v>20%-30%</v>
          </cell>
        </row>
        <row r="23">
          <cell r="Z23" t="str">
            <v>Female</v>
          </cell>
          <cell r="AA23" t="str">
            <v>3-5 years</v>
          </cell>
          <cell r="AB23" t="str">
            <v>20%-30%</v>
          </cell>
        </row>
        <row r="24">
          <cell r="Z24" t="str">
            <v>Male</v>
          </cell>
          <cell r="AA24" t="str">
            <v>3-5 years</v>
          </cell>
          <cell r="AB24" t="str">
            <v>20%-30%</v>
          </cell>
        </row>
        <row r="25">
          <cell r="Z25" t="str">
            <v>Male</v>
          </cell>
          <cell r="AA25" t="str">
            <v>3-5 years</v>
          </cell>
          <cell r="AB25" t="str">
            <v>20%-30%</v>
          </cell>
        </row>
        <row r="26">
          <cell r="Z26" t="str">
            <v>Female</v>
          </cell>
          <cell r="AA26" t="str">
            <v>3-5 years</v>
          </cell>
          <cell r="AB26" t="str">
            <v>30%-40%</v>
          </cell>
        </row>
        <row r="27">
          <cell r="Z27" t="str">
            <v>Female</v>
          </cell>
          <cell r="AA27" t="str">
            <v>3-5 years</v>
          </cell>
          <cell r="AB27" t="str">
            <v>20%-30%</v>
          </cell>
        </row>
        <row r="28">
          <cell r="Z28" t="str">
            <v>Male</v>
          </cell>
          <cell r="AA28" t="str">
            <v>3-5 years</v>
          </cell>
          <cell r="AB28" t="str">
            <v>20%-30%</v>
          </cell>
        </row>
        <row r="29">
          <cell r="Z29" t="str">
            <v>Male</v>
          </cell>
          <cell r="AA29" t="str">
            <v>1-3 years</v>
          </cell>
          <cell r="AB29" t="str">
            <v>20%-30%</v>
          </cell>
        </row>
        <row r="30">
          <cell r="Z30" t="str">
            <v>Male</v>
          </cell>
          <cell r="AA30" t="str">
            <v>1-3 years</v>
          </cell>
          <cell r="AB30" t="str">
            <v>20%-30%</v>
          </cell>
        </row>
        <row r="31">
          <cell r="Z31" t="str">
            <v>Female</v>
          </cell>
          <cell r="AA31" t="str">
            <v>3-5 years</v>
          </cell>
          <cell r="AB31" t="str">
            <v>10%-20%</v>
          </cell>
        </row>
        <row r="32">
          <cell r="Z32" t="str">
            <v>Male</v>
          </cell>
          <cell r="AA32" t="str">
            <v>1-3 years</v>
          </cell>
          <cell r="AB32" t="str">
            <v>10%-20%</v>
          </cell>
        </row>
        <row r="33">
          <cell r="Z33" t="str">
            <v>Female</v>
          </cell>
          <cell r="AA33" t="str">
            <v>3-5 years</v>
          </cell>
          <cell r="AB33" t="str">
            <v>20%-30%</v>
          </cell>
        </row>
        <row r="34">
          <cell r="Z34" t="str">
            <v>Male</v>
          </cell>
          <cell r="AA34" t="str">
            <v>3-5 years</v>
          </cell>
          <cell r="AB34" t="str">
            <v>30%-40%</v>
          </cell>
        </row>
        <row r="35">
          <cell r="Z35" t="str">
            <v>Male</v>
          </cell>
          <cell r="AA35" t="str">
            <v>1-3 years</v>
          </cell>
          <cell r="AB35" t="str">
            <v>20%-30%</v>
          </cell>
        </row>
        <row r="36">
          <cell r="Z36" t="str">
            <v>Male</v>
          </cell>
          <cell r="AA36" t="str">
            <v>1-3 years</v>
          </cell>
          <cell r="AB36" t="str">
            <v>20%-30%</v>
          </cell>
        </row>
        <row r="37">
          <cell r="Z37" t="str">
            <v>Male</v>
          </cell>
          <cell r="AA37" t="str">
            <v>3-5 years</v>
          </cell>
          <cell r="AB37" t="str">
            <v>20%-30%</v>
          </cell>
        </row>
        <row r="38">
          <cell r="Z38" t="str">
            <v>Male</v>
          </cell>
          <cell r="AA38" t="str">
            <v>1-3 years</v>
          </cell>
          <cell r="AB38" t="str">
            <v>20%-30%</v>
          </cell>
        </row>
        <row r="39">
          <cell r="Z39" t="str">
            <v>Male</v>
          </cell>
          <cell r="AA39" t="str">
            <v>3-5 years</v>
          </cell>
          <cell r="AB39" t="str">
            <v>30%-40%</v>
          </cell>
        </row>
        <row r="40">
          <cell r="Z40" t="str">
            <v>Male</v>
          </cell>
          <cell r="AA40" t="str">
            <v>1-3 years</v>
          </cell>
          <cell r="AB40" t="str">
            <v>20%-30%</v>
          </cell>
        </row>
        <row r="41">
          <cell r="Z41" t="str">
            <v>Male</v>
          </cell>
          <cell r="AA41" t="str">
            <v>3-5 years</v>
          </cell>
          <cell r="AB41" t="str">
            <v>20%-30%</v>
          </cell>
        </row>
      </sheetData>
      <sheetData sheetId="1">
        <row r="2">
          <cell r="A2">
            <v>0</v>
          </cell>
          <cell r="B2">
            <v>2</v>
          </cell>
          <cell r="C2">
            <v>25</v>
          </cell>
          <cell r="F2" t="str">
            <v>Gender</v>
          </cell>
          <cell r="G2" t="str">
            <v>Duration</v>
          </cell>
          <cell r="H2" t="str">
            <v>Expect</v>
          </cell>
        </row>
        <row r="3">
          <cell r="A3">
            <v>0</v>
          </cell>
          <cell r="B3">
            <v>6</v>
          </cell>
          <cell r="C3">
            <v>25</v>
          </cell>
          <cell r="E3" t="str">
            <v>Gender</v>
          </cell>
          <cell r="F3">
            <v>1</v>
          </cell>
          <cell r="G3"/>
          <cell r="H3"/>
        </row>
        <row r="4">
          <cell r="A4">
            <v>1</v>
          </cell>
          <cell r="B4">
            <v>4</v>
          </cell>
          <cell r="C4">
            <v>25</v>
          </cell>
          <cell r="E4" t="str">
            <v>Duration</v>
          </cell>
          <cell r="F4">
            <v>-8.0081190096476934E-2</v>
          </cell>
          <cell r="G4">
            <v>1</v>
          </cell>
          <cell r="H4"/>
        </row>
        <row r="5">
          <cell r="A5">
            <v>1</v>
          </cell>
          <cell r="B5">
            <v>0.5</v>
          </cell>
          <cell r="C5">
            <v>15</v>
          </cell>
          <cell r="E5" t="str">
            <v>Expect</v>
          </cell>
          <cell r="F5">
            <v>-2.9049644688706338E-2</v>
          </cell>
          <cell r="G5">
            <v>0.25822264315920551</v>
          </cell>
          <cell r="H5">
            <v>1</v>
          </cell>
        </row>
        <row r="6">
          <cell r="A6">
            <v>0</v>
          </cell>
          <cell r="B6">
            <v>0.5</v>
          </cell>
          <cell r="C6">
            <v>25</v>
          </cell>
        </row>
        <row r="7">
          <cell r="A7">
            <v>0</v>
          </cell>
          <cell r="B7">
            <v>2</v>
          </cell>
          <cell r="C7">
            <v>35</v>
          </cell>
        </row>
        <row r="8">
          <cell r="A8">
            <v>0</v>
          </cell>
          <cell r="B8">
            <v>4</v>
          </cell>
          <cell r="C8">
            <v>25</v>
          </cell>
        </row>
        <row r="9">
          <cell r="A9">
            <v>1</v>
          </cell>
          <cell r="B9">
            <v>4</v>
          </cell>
          <cell r="C9">
            <v>25</v>
          </cell>
        </row>
        <row r="10">
          <cell r="A10">
            <v>1</v>
          </cell>
          <cell r="B10">
            <v>2</v>
          </cell>
          <cell r="C10">
            <v>25</v>
          </cell>
        </row>
        <row r="11">
          <cell r="A11">
            <v>1</v>
          </cell>
          <cell r="B11">
            <v>4</v>
          </cell>
          <cell r="C11">
            <v>35</v>
          </cell>
        </row>
        <row r="12">
          <cell r="A12">
            <v>0</v>
          </cell>
          <cell r="B12">
            <v>4</v>
          </cell>
          <cell r="C12">
            <v>25</v>
          </cell>
        </row>
        <row r="13">
          <cell r="A13">
            <v>1</v>
          </cell>
          <cell r="B13">
            <v>2</v>
          </cell>
          <cell r="C13">
            <v>25</v>
          </cell>
        </row>
        <row r="14">
          <cell r="A14">
            <v>0</v>
          </cell>
          <cell r="B14">
            <v>2</v>
          </cell>
          <cell r="C14">
            <v>25</v>
          </cell>
        </row>
        <row r="15">
          <cell r="A15">
            <v>0</v>
          </cell>
          <cell r="B15">
            <v>2</v>
          </cell>
          <cell r="C15">
            <v>25</v>
          </cell>
        </row>
        <row r="16">
          <cell r="A16">
            <v>0</v>
          </cell>
          <cell r="B16">
            <v>2</v>
          </cell>
          <cell r="C16">
            <v>25</v>
          </cell>
        </row>
        <row r="17">
          <cell r="A17">
            <v>1</v>
          </cell>
          <cell r="B17">
            <v>2</v>
          </cell>
          <cell r="C17">
            <v>25</v>
          </cell>
        </row>
        <row r="18">
          <cell r="A18">
            <v>0</v>
          </cell>
          <cell r="B18">
            <v>2</v>
          </cell>
          <cell r="C18">
            <v>25</v>
          </cell>
        </row>
        <row r="19">
          <cell r="A19">
            <v>1</v>
          </cell>
          <cell r="B19">
            <v>2</v>
          </cell>
          <cell r="C19">
            <v>25</v>
          </cell>
        </row>
        <row r="20">
          <cell r="A20">
            <v>1</v>
          </cell>
          <cell r="B20">
            <v>2</v>
          </cell>
          <cell r="C20">
            <v>25</v>
          </cell>
        </row>
        <row r="21">
          <cell r="A21">
            <v>1</v>
          </cell>
          <cell r="B21">
            <v>4</v>
          </cell>
          <cell r="C21">
            <v>25</v>
          </cell>
        </row>
        <row r="22">
          <cell r="A22">
            <v>1</v>
          </cell>
          <cell r="B22">
            <v>4</v>
          </cell>
          <cell r="C22">
            <v>25</v>
          </cell>
        </row>
        <row r="23">
          <cell r="A23">
            <v>0</v>
          </cell>
          <cell r="B23">
            <v>4</v>
          </cell>
          <cell r="C23">
            <v>25</v>
          </cell>
        </row>
        <row r="24">
          <cell r="A24">
            <v>1</v>
          </cell>
          <cell r="B24">
            <v>4</v>
          </cell>
          <cell r="C24">
            <v>25</v>
          </cell>
        </row>
        <row r="25">
          <cell r="A25">
            <v>1</v>
          </cell>
          <cell r="B25">
            <v>4</v>
          </cell>
          <cell r="C25">
            <v>25</v>
          </cell>
        </row>
        <row r="26">
          <cell r="A26">
            <v>0</v>
          </cell>
          <cell r="B26">
            <v>4</v>
          </cell>
          <cell r="C26">
            <v>35</v>
          </cell>
        </row>
        <row r="27">
          <cell r="A27">
            <v>0</v>
          </cell>
          <cell r="B27">
            <v>4</v>
          </cell>
          <cell r="C27">
            <v>25</v>
          </cell>
        </row>
        <row r="28">
          <cell r="A28">
            <v>1</v>
          </cell>
          <cell r="B28">
            <v>4</v>
          </cell>
          <cell r="C28">
            <v>25</v>
          </cell>
        </row>
        <row r="29">
          <cell r="A29">
            <v>1</v>
          </cell>
          <cell r="B29">
            <v>2</v>
          </cell>
          <cell r="C29">
            <v>25</v>
          </cell>
        </row>
        <row r="30">
          <cell r="A30">
            <v>1</v>
          </cell>
          <cell r="B30">
            <v>2</v>
          </cell>
          <cell r="C30">
            <v>25</v>
          </cell>
        </row>
        <row r="31">
          <cell r="A31">
            <v>0</v>
          </cell>
          <cell r="B31">
            <v>4</v>
          </cell>
          <cell r="C31">
            <v>15</v>
          </cell>
        </row>
        <row r="32">
          <cell r="A32">
            <v>1</v>
          </cell>
          <cell r="B32">
            <v>2</v>
          </cell>
          <cell r="C32">
            <v>15</v>
          </cell>
        </row>
        <row r="33">
          <cell r="A33">
            <v>0</v>
          </cell>
          <cell r="B33">
            <v>4</v>
          </cell>
          <cell r="C33">
            <v>25</v>
          </cell>
        </row>
        <row r="34">
          <cell r="A34">
            <v>1</v>
          </cell>
          <cell r="B34">
            <v>4</v>
          </cell>
          <cell r="C34">
            <v>35</v>
          </cell>
        </row>
        <row r="35">
          <cell r="A35">
            <v>1</v>
          </cell>
          <cell r="B35">
            <v>2</v>
          </cell>
          <cell r="C35">
            <v>25</v>
          </cell>
        </row>
        <row r="36">
          <cell r="A36">
            <v>1</v>
          </cell>
          <cell r="B36">
            <v>2</v>
          </cell>
          <cell r="C36">
            <v>25</v>
          </cell>
        </row>
        <row r="37">
          <cell r="A37">
            <v>1</v>
          </cell>
          <cell r="B37">
            <v>4</v>
          </cell>
          <cell r="C37">
            <v>25</v>
          </cell>
        </row>
        <row r="38">
          <cell r="A38">
            <v>1</v>
          </cell>
          <cell r="B38">
            <v>2</v>
          </cell>
          <cell r="C38">
            <v>25</v>
          </cell>
        </row>
        <row r="39">
          <cell r="A39">
            <v>1</v>
          </cell>
          <cell r="B39">
            <v>4</v>
          </cell>
          <cell r="C39">
            <v>35</v>
          </cell>
        </row>
        <row r="40">
          <cell r="A40">
            <v>1</v>
          </cell>
          <cell r="B40">
            <v>2</v>
          </cell>
          <cell r="C40">
            <v>25</v>
          </cell>
        </row>
        <row r="41">
          <cell r="A41">
            <v>1</v>
          </cell>
          <cell r="B41">
            <v>4</v>
          </cell>
          <cell r="C41">
            <v>25</v>
          </cell>
        </row>
      </sheetData>
      <sheetData sheetId="2">
        <row r="1">
          <cell r="A1" t="str">
            <v>Gender</v>
          </cell>
          <cell r="B1" t="str">
            <v>Duration</v>
          </cell>
          <cell r="C1" t="str">
            <v>Expect</v>
          </cell>
        </row>
        <row r="2">
          <cell r="A2">
            <v>0</v>
          </cell>
          <cell r="B2">
            <v>2</v>
          </cell>
          <cell r="C2">
            <v>25</v>
          </cell>
        </row>
        <row r="3">
          <cell r="A3">
            <v>0</v>
          </cell>
          <cell r="B3">
            <v>6</v>
          </cell>
          <cell r="C3">
            <v>25</v>
          </cell>
        </row>
        <row r="4">
          <cell r="A4">
            <v>1</v>
          </cell>
          <cell r="B4">
            <v>4</v>
          </cell>
          <cell r="C4">
            <v>25</v>
          </cell>
        </row>
        <row r="5">
          <cell r="A5">
            <v>1</v>
          </cell>
          <cell r="B5">
            <v>0.5</v>
          </cell>
          <cell r="C5">
            <v>15</v>
          </cell>
        </row>
        <row r="6">
          <cell r="A6">
            <v>0</v>
          </cell>
          <cell r="B6">
            <v>0.5</v>
          </cell>
          <cell r="C6">
            <v>25</v>
          </cell>
        </row>
        <row r="7">
          <cell r="A7">
            <v>0</v>
          </cell>
          <cell r="B7">
            <v>2</v>
          </cell>
          <cell r="C7">
            <v>35</v>
          </cell>
        </row>
        <row r="8">
          <cell r="A8">
            <v>0</v>
          </cell>
          <cell r="B8">
            <v>4</v>
          </cell>
          <cell r="C8">
            <v>25</v>
          </cell>
        </row>
        <row r="9">
          <cell r="A9">
            <v>1</v>
          </cell>
          <cell r="B9">
            <v>4</v>
          </cell>
          <cell r="C9">
            <v>25</v>
          </cell>
        </row>
        <row r="10">
          <cell r="A10">
            <v>1</v>
          </cell>
          <cell r="B10">
            <v>2</v>
          </cell>
          <cell r="C10">
            <v>25</v>
          </cell>
        </row>
        <row r="11">
          <cell r="A11">
            <v>1</v>
          </cell>
          <cell r="B11">
            <v>4</v>
          </cell>
          <cell r="C11">
            <v>35</v>
          </cell>
        </row>
        <row r="12">
          <cell r="A12">
            <v>0</v>
          </cell>
          <cell r="B12">
            <v>4</v>
          </cell>
          <cell r="C12">
            <v>25</v>
          </cell>
        </row>
        <row r="13">
          <cell r="A13">
            <v>1</v>
          </cell>
          <cell r="B13">
            <v>2</v>
          </cell>
          <cell r="C13">
            <v>25</v>
          </cell>
        </row>
        <row r="14">
          <cell r="A14">
            <v>0</v>
          </cell>
          <cell r="B14">
            <v>2</v>
          </cell>
          <cell r="C14">
            <v>25</v>
          </cell>
        </row>
        <row r="15">
          <cell r="A15">
            <v>0</v>
          </cell>
          <cell r="B15">
            <v>2</v>
          </cell>
          <cell r="C15">
            <v>25</v>
          </cell>
        </row>
        <row r="16">
          <cell r="A16">
            <v>0</v>
          </cell>
          <cell r="B16">
            <v>2</v>
          </cell>
          <cell r="C16">
            <v>25</v>
          </cell>
        </row>
        <row r="17">
          <cell r="A17">
            <v>1</v>
          </cell>
          <cell r="B17">
            <v>2</v>
          </cell>
          <cell r="C17">
            <v>25</v>
          </cell>
        </row>
        <row r="18">
          <cell r="A18">
            <v>0</v>
          </cell>
          <cell r="B18">
            <v>2</v>
          </cell>
          <cell r="C18">
            <v>25</v>
          </cell>
        </row>
        <row r="19">
          <cell r="A19">
            <v>1</v>
          </cell>
          <cell r="B19">
            <v>2</v>
          </cell>
          <cell r="C19">
            <v>25</v>
          </cell>
        </row>
        <row r="20">
          <cell r="A20">
            <v>1</v>
          </cell>
          <cell r="B20">
            <v>2</v>
          </cell>
          <cell r="C20">
            <v>25</v>
          </cell>
        </row>
        <row r="21">
          <cell r="A21">
            <v>1</v>
          </cell>
          <cell r="B21">
            <v>4</v>
          </cell>
          <cell r="C21">
            <v>25</v>
          </cell>
        </row>
        <row r="22">
          <cell r="A22">
            <v>1</v>
          </cell>
          <cell r="B22">
            <v>4</v>
          </cell>
          <cell r="C22">
            <v>25</v>
          </cell>
        </row>
        <row r="23">
          <cell r="A23">
            <v>0</v>
          </cell>
          <cell r="B23">
            <v>4</v>
          </cell>
          <cell r="C23">
            <v>25</v>
          </cell>
        </row>
        <row r="24">
          <cell r="A24">
            <v>1</v>
          </cell>
          <cell r="B24">
            <v>4</v>
          </cell>
          <cell r="C24">
            <v>25</v>
          </cell>
        </row>
        <row r="25">
          <cell r="A25">
            <v>1</v>
          </cell>
          <cell r="B25">
            <v>4</v>
          </cell>
          <cell r="C25">
            <v>25</v>
          </cell>
        </row>
        <row r="26">
          <cell r="A26">
            <v>0</v>
          </cell>
          <cell r="B26">
            <v>4</v>
          </cell>
          <cell r="C26">
            <v>35</v>
          </cell>
        </row>
        <row r="27">
          <cell r="A27">
            <v>0</v>
          </cell>
          <cell r="B27">
            <v>4</v>
          </cell>
          <cell r="C27">
            <v>25</v>
          </cell>
        </row>
        <row r="28">
          <cell r="A28">
            <v>1</v>
          </cell>
          <cell r="B28">
            <v>4</v>
          </cell>
          <cell r="C28">
            <v>25</v>
          </cell>
        </row>
        <row r="29">
          <cell r="A29">
            <v>1</v>
          </cell>
          <cell r="B29">
            <v>2</v>
          </cell>
          <cell r="C29">
            <v>25</v>
          </cell>
        </row>
        <row r="30">
          <cell r="A30">
            <v>1</v>
          </cell>
          <cell r="B30">
            <v>2</v>
          </cell>
          <cell r="C30">
            <v>25</v>
          </cell>
        </row>
        <row r="31">
          <cell r="A31">
            <v>0</v>
          </cell>
          <cell r="B31">
            <v>4</v>
          </cell>
          <cell r="C31">
            <v>15</v>
          </cell>
        </row>
        <row r="32">
          <cell r="A32">
            <v>1</v>
          </cell>
          <cell r="B32">
            <v>2</v>
          </cell>
          <cell r="C32">
            <v>15</v>
          </cell>
        </row>
        <row r="33">
          <cell r="A33">
            <v>0</v>
          </cell>
          <cell r="B33">
            <v>4</v>
          </cell>
          <cell r="C33">
            <v>25</v>
          </cell>
        </row>
        <row r="34">
          <cell r="A34">
            <v>1</v>
          </cell>
          <cell r="B34">
            <v>4</v>
          </cell>
          <cell r="C34">
            <v>35</v>
          </cell>
        </row>
        <row r="35">
          <cell r="A35">
            <v>1</v>
          </cell>
          <cell r="B35">
            <v>2</v>
          </cell>
          <cell r="C35">
            <v>25</v>
          </cell>
        </row>
        <row r="36">
          <cell r="A36">
            <v>1</v>
          </cell>
          <cell r="B36">
            <v>2</v>
          </cell>
          <cell r="C36">
            <v>25</v>
          </cell>
        </row>
        <row r="37">
          <cell r="A37">
            <v>1</v>
          </cell>
          <cell r="B37">
            <v>4</v>
          </cell>
          <cell r="C37">
            <v>25</v>
          </cell>
        </row>
        <row r="38">
          <cell r="A38">
            <v>1</v>
          </cell>
          <cell r="B38">
            <v>2</v>
          </cell>
          <cell r="C38">
            <v>25</v>
          </cell>
        </row>
        <row r="39">
          <cell r="A39">
            <v>1</v>
          </cell>
          <cell r="B39">
            <v>4</v>
          </cell>
          <cell r="C39">
            <v>35</v>
          </cell>
        </row>
        <row r="40">
          <cell r="A40">
            <v>1</v>
          </cell>
          <cell r="B40">
            <v>2</v>
          </cell>
          <cell r="C40">
            <v>25</v>
          </cell>
        </row>
        <row r="41">
          <cell r="A41">
            <v>1</v>
          </cell>
          <cell r="B41">
            <v>4</v>
          </cell>
          <cell r="C41">
            <v>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OBOOK 16X" refreshedDate="45932.849341666668" createdVersion="8" refreshedVersion="8" minRefreshableVersion="3" recordCount="40" xr:uid="{417F3226-9353-4A93-9A60-F10FC27BFCF6}">
  <cacheSource type="worksheet">
    <worksheetSource ref="A1:Z41" sheet="Dataset1"/>
  </cacheSource>
  <cacheFields count="26">
    <cacheField name="Male  Count" numFmtId="0">
      <sharedItems containsString="0" containsBlank="1" containsNumber="1" containsInteger="1" minValue="25" maxValue="25"/>
    </cacheField>
    <cacheField name="Female Count" numFmtId="0">
      <sharedItems containsString="0" containsBlank="1" containsNumber="1" containsInteger="1" minValue="15" maxValue="15"/>
    </cacheField>
    <cacheField name="gender" numFmtId="0">
      <sharedItems count="2">
        <s v="Female"/>
        <s v="Male"/>
      </sharedItems>
    </cacheField>
    <cacheField name="age" numFmtId="0">
      <sharedItems containsSemiMixedTypes="0" containsString="0" containsNumber="1" containsInteger="1" minValue="21" maxValue="35" count="14">
        <n v="34"/>
        <n v="23"/>
        <n v="30"/>
        <n v="22"/>
        <n v="24"/>
        <n v="27"/>
        <n v="21"/>
        <n v="35"/>
        <n v="31"/>
        <n v="29"/>
        <n v="28"/>
        <n v="25"/>
        <n v="26"/>
        <n v="32"/>
      </sharedItems>
      <fieldGroup base="3">
        <rangePr startNum="21" endNum="35" groupInterval="5"/>
        <groupItems count="5">
          <s v="&lt;21"/>
          <s v="21-25"/>
          <s v="26-30"/>
          <s v="31-35"/>
          <s v="&gt;36"/>
        </groupItems>
      </fieldGroup>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acheField>
    <cacheField name="Invest_Monitor" numFmtId="0">
      <sharedItems/>
    </cacheField>
    <cacheField name="Expect" numFmtId="0">
      <sharedItems/>
    </cacheField>
    <cacheField name="Avenue" numFmtId="0">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102005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OBOOK 16X" refreshedDate="45938.456333217589" createdVersion="8" refreshedVersion="8" minRefreshableVersion="3" recordCount="40" xr:uid="{82D42EF5-7517-46AB-A009-582506F8A78A}">
  <cacheSource type="worksheet">
    <worksheetSource ref="A1:AA41" sheet="Dataset1"/>
  </cacheSource>
  <cacheFields count="27">
    <cacheField name="Male  Count" numFmtId="0">
      <sharedItems containsString="0" containsBlank="1" containsNumber="1" containsInteger="1" minValue="25" maxValue="25"/>
    </cacheField>
    <cacheField name="Female Count" numFmtId="0">
      <sharedItems containsString="0" containsBlank="1" containsNumber="1" containsInteger="1" minValue="15" maxValue="15"/>
    </cacheField>
    <cacheField name="gender" numFmtId="0">
      <sharedItems/>
    </cacheField>
    <cacheField name="age" numFmtId="0">
      <sharedItems containsSemiMixedTypes="0" containsString="0" containsNumber="1" containsInteger="1" minValue="21" maxValue="35" count="14">
        <n v="34"/>
        <n v="23"/>
        <n v="30"/>
        <n v="22"/>
        <n v="24"/>
        <n v="27"/>
        <n v="21"/>
        <n v="35"/>
        <n v="31"/>
        <n v="29"/>
        <n v="28"/>
        <n v="25"/>
        <n v="26"/>
        <n v="32"/>
      </sharedItems>
      <fieldGroup base="3">
        <rangePr startNum="21" endNum="35" groupInterval="5"/>
        <groupItems count="5">
          <s v="&lt;21"/>
          <s v="21-25"/>
          <s v="26-30"/>
          <s v="31-35"/>
          <s v="&gt;36"/>
        </groupItems>
      </fieldGroup>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ount="3">
        <s v="Wealth Creation"/>
        <s v="Savings for Future"/>
        <s v="Returns"/>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ount="4">
        <s v="Newspapers and Magazines"/>
        <s v="Financial Consultants"/>
        <s v="Television"/>
        <s v="Internet"/>
      </sharedItems>
    </cacheField>
    <cacheField name="All Reasons" numFmtId="0">
      <sharedItems containsBlank="1" count="13">
        <s v="Capital Appreciation"/>
        <s v="Dividend"/>
        <s v="Liquidity"/>
        <s v="Tax Benefits"/>
        <s v="Better Returns"/>
        <s v="Fund Diversification"/>
        <s v="Safe Investment"/>
        <s v="Assured Returns"/>
        <s v="Tax Incentives"/>
        <s v="Fixed Returns"/>
        <s v="High Interest Rates"/>
        <s v="Risk Free"/>
        <m/>
      </sharedItems>
    </cacheField>
  </cacheFields>
  <extLst>
    <ext xmlns:x14="http://schemas.microsoft.com/office/spreadsheetml/2009/9/main" uri="{725AE2AE-9491-48be-B2B4-4EB974FC3084}">
      <x14:pivotCacheDefinition pivotCacheId="83013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25"/>
    <n v="15"/>
    <x v="0"/>
    <x v="0"/>
    <x v="0"/>
    <n v="1"/>
    <n v="2"/>
    <n v="5"/>
    <n v="3"/>
    <n v="7"/>
    <n v="6"/>
    <n v="4"/>
    <s v="Yes"/>
    <s v="Returns"/>
    <s v="Capital Appreciation"/>
    <s v="Wealth Creation"/>
    <s v="1-3 years"/>
    <s v="Monthly"/>
    <s v="20%-30%"/>
    <s v="Mutual Fund"/>
    <x v="0"/>
    <s v="Capital Appreciation"/>
    <s v="Better Returns"/>
    <s v="Safe Investment"/>
    <s v="Fixed Returns"/>
    <x v="0"/>
  </r>
  <r>
    <m/>
    <m/>
    <x v="0"/>
    <x v="1"/>
    <x v="0"/>
    <n v="4"/>
    <n v="3"/>
    <n v="2"/>
    <n v="1"/>
    <n v="5"/>
    <n v="6"/>
    <n v="7"/>
    <s v="No"/>
    <s v="Locking Period"/>
    <s v="Capital Appreciation"/>
    <s v="Wealth Creation"/>
    <s v="More than 5 years"/>
    <s v="Weekly"/>
    <s v="20%-30%"/>
    <s v="Mutual Fund"/>
    <x v="1"/>
    <s v="Dividend"/>
    <s v="Better Returns"/>
    <s v="Safe Investment"/>
    <s v="High Interest Rates"/>
    <x v="1"/>
  </r>
  <r>
    <m/>
    <m/>
    <x v="1"/>
    <x v="2"/>
    <x v="0"/>
    <n v="3"/>
    <n v="6"/>
    <n v="4"/>
    <n v="2"/>
    <n v="5"/>
    <n v="1"/>
    <n v="7"/>
    <s v="Yes"/>
    <s v="Returns"/>
    <s v="Capital Appreciation"/>
    <s v="Wealth Creation"/>
    <s v="3-5 years"/>
    <s v="Daily"/>
    <s v="20%-30%"/>
    <s v="Equity"/>
    <x v="0"/>
    <s v="Capital Appreciation"/>
    <s v="Tax Benefits"/>
    <s v="Assured Returns"/>
    <s v="Fixed Returns"/>
    <x v="2"/>
  </r>
  <r>
    <m/>
    <m/>
    <x v="1"/>
    <x v="3"/>
    <x v="0"/>
    <n v="2"/>
    <n v="1"/>
    <n v="3"/>
    <n v="7"/>
    <n v="6"/>
    <n v="4"/>
    <n v="5"/>
    <s v="Yes"/>
    <s v="Returns"/>
    <s v="Income"/>
    <s v="Wealth Creation"/>
    <s v="Less than 1 year"/>
    <s v="Daily"/>
    <s v="10%-20%"/>
    <s v="Equity"/>
    <x v="0"/>
    <s v="Dividend"/>
    <s v="Fund Diversification"/>
    <s v="Tax Incentives"/>
    <s v="High Interest Rates"/>
    <x v="3"/>
  </r>
  <r>
    <m/>
    <m/>
    <x v="0"/>
    <x v="4"/>
    <x v="1"/>
    <n v="2"/>
    <n v="1"/>
    <n v="3"/>
    <n v="6"/>
    <n v="4"/>
    <n v="5"/>
    <n v="7"/>
    <s v="No"/>
    <s v="Returns"/>
    <s v="Income"/>
    <s v="Wealth Creation"/>
    <s v="Less than 1 year"/>
    <s v="Daily"/>
    <s v="20%-30%"/>
    <s v="Equity"/>
    <x v="0"/>
    <s v="Capital Appreciation"/>
    <s v="Better Returns"/>
    <s v="Safe Investment"/>
    <s v="Risk Free"/>
    <x v="3"/>
  </r>
  <r>
    <m/>
    <m/>
    <x v="0"/>
    <x v="4"/>
    <x v="1"/>
    <n v="7"/>
    <n v="5"/>
    <n v="4"/>
    <n v="6"/>
    <n v="3"/>
    <n v="1"/>
    <n v="2"/>
    <s v="No"/>
    <s v="Risk"/>
    <s v="Capital Appreciation"/>
    <s v="Wealth Creation"/>
    <s v="1-3 years"/>
    <s v="Daily"/>
    <s v="30%-40%"/>
    <s v="Mutual Fund"/>
    <x v="0"/>
    <s v="Liquidity"/>
    <s v="Fund Diversification"/>
    <s v="Safe Investment"/>
    <s v="Risk Free"/>
    <x v="3"/>
  </r>
  <r>
    <m/>
    <m/>
    <x v="0"/>
    <x v="5"/>
    <x v="0"/>
    <n v="3"/>
    <n v="6"/>
    <n v="4"/>
    <n v="2"/>
    <n v="5"/>
    <n v="1"/>
    <n v="7"/>
    <s v="Yes"/>
    <s v="Returns"/>
    <s v="Capital Appreciation"/>
    <s v="Wealth Creation"/>
    <s v="3-5 years"/>
    <s v="Monthly"/>
    <s v="20%-30%"/>
    <s v="Equity"/>
    <x v="0"/>
    <s v="Capital Appreciation"/>
    <s v="Better Returns"/>
    <s v="Assured Returns"/>
    <s v="High Interest Rates"/>
    <x v="1"/>
  </r>
  <r>
    <m/>
    <m/>
    <x v="1"/>
    <x v="6"/>
    <x v="0"/>
    <n v="2"/>
    <n v="3"/>
    <n v="7"/>
    <n v="4"/>
    <n v="6"/>
    <n v="1"/>
    <n v="5"/>
    <s v="Yes"/>
    <s v="Risk"/>
    <s v="Capital Appreciation"/>
    <s v="Wealth Creation"/>
    <s v="3-5 years"/>
    <s v="Monthly"/>
    <s v="20%-30%"/>
    <s v="Mutual Fund"/>
    <x v="0"/>
    <s v="Capital Appreciation"/>
    <s v="Better Returns"/>
    <s v="Assured Returns"/>
    <s v="Risk Free"/>
    <x v="0"/>
  </r>
  <r>
    <m/>
    <m/>
    <x v="1"/>
    <x v="7"/>
    <x v="0"/>
    <n v="2"/>
    <n v="4"/>
    <n v="7"/>
    <n v="5"/>
    <n v="3"/>
    <n v="1"/>
    <n v="6"/>
    <s v="Yes"/>
    <s v="Returns"/>
    <s v="Growth"/>
    <s v="Savings for Future"/>
    <s v="1-3 years"/>
    <s v="Weekly"/>
    <s v="20%-30%"/>
    <s v="Equity"/>
    <x v="0"/>
    <s v="Capital Appreciation"/>
    <s v="Fund Diversification"/>
    <s v="Safe Investment"/>
    <s v="Fixed Returns"/>
    <x v="2"/>
  </r>
  <r>
    <m/>
    <m/>
    <x v="1"/>
    <x v="8"/>
    <x v="0"/>
    <n v="1"/>
    <n v="3"/>
    <n v="7"/>
    <n v="4"/>
    <n v="5"/>
    <n v="2"/>
    <n v="6"/>
    <s v="Yes"/>
    <s v="Returns"/>
    <s v="Capital Appreciation"/>
    <s v="Wealth Creation"/>
    <s v="3-5 years"/>
    <s v="Monthly"/>
    <s v="30%-40%"/>
    <s v="Fixed Deposits"/>
    <x v="0"/>
    <s v="Capital Appreciation"/>
    <s v="Fund Diversification"/>
    <s v="Assured Returns"/>
    <s v="Fixed Returns"/>
    <x v="0"/>
  </r>
  <r>
    <m/>
    <m/>
    <x v="0"/>
    <x v="7"/>
    <x v="0"/>
    <n v="2"/>
    <n v="4"/>
    <n v="7"/>
    <n v="5"/>
    <n v="3"/>
    <n v="1"/>
    <n v="6"/>
    <s v="Yes"/>
    <s v="Risk"/>
    <s v="Growth"/>
    <s v="Savings for Future"/>
    <s v="3-5 years"/>
    <s v="Monthly"/>
    <s v="20%-30%"/>
    <s v="Mutual Fund"/>
    <x v="0"/>
    <s v="Capital Appreciation"/>
    <s v="Better Returns"/>
    <s v="Assured Returns"/>
    <s v="Risk Free"/>
    <x v="1"/>
  </r>
  <r>
    <m/>
    <m/>
    <x v="1"/>
    <x v="9"/>
    <x v="0"/>
    <n v="2"/>
    <n v="5"/>
    <n v="7"/>
    <n v="6"/>
    <n v="3"/>
    <n v="1"/>
    <n v="4"/>
    <s v="Yes"/>
    <s v="Risk"/>
    <s v="Capital Appreciation"/>
    <s v="Wealth Creation"/>
    <s v="1-3 years"/>
    <s v="Monthly"/>
    <s v="20%-30%"/>
    <s v="Mutual Fund"/>
    <x v="0"/>
    <s v="Capital Appreciation"/>
    <s v="Fund Diversification"/>
    <s v="Assured Returns"/>
    <s v="Fixed Returns"/>
    <x v="1"/>
  </r>
  <r>
    <m/>
    <m/>
    <x v="0"/>
    <x v="6"/>
    <x v="1"/>
    <n v="1"/>
    <n v="2"/>
    <n v="3"/>
    <n v="4"/>
    <n v="5"/>
    <n v="6"/>
    <n v="7"/>
    <s v="No"/>
    <s v="Returns"/>
    <s v="Capital Appreciation"/>
    <s v="Savings for Future"/>
    <s v="1-3 years"/>
    <s v="Weekly"/>
    <s v="20%-30%"/>
    <s v="Mutual Fund"/>
    <x v="2"/>
    <s v="Dividend"/>
    <s v="Better Returns"/>
    <s v="Safe Investment"/>
    <s v="Risk Free"/>
    <x v="3"/>
  </r>
  <r>
    <m/>
    <m/>
    <x v="0"/>
    <x v="10"/>
    <x v="0"/>
    <n v="2"/>
    <n v="3"/>
    <n v="7"/>
    <n v="4"/>
    <n v="5"/>
    <n v="1"/>
    <n v="6"/>
    <s v="Yes"/>
    <s v="Returns"/>
    <s v="Capital Appreciation"/>
    <s v="Wealth Creation"/>
    <s v="1-3 years"/>
    <s v="Monthly"/>
    <s v="20%-30%"/>
    <s v="Mutual Fund"/>
    <x v="0"/>
    <s v="Capital Appreciation"/>
    <s v="Fund Diversification"/>
    <s v="Assured Returns"/>
    <s v="Risk Free"/>
    <x v="0"/>
  </r>
  <r>
    <m/>
    <m/>
    <x v="0"/>
    <x v="11"/>
    <x v="0"/>
    <n v="2"/>
    <n v="3"/>
    <n v="7"/>
    <n v="5"/>
    <n v="4"/>
    <n v="1"/>
    <n v="6"/>
    <s v="Yes"/>
    <s v="Returns"/>
    <s v="Capital Appreciation"/>
    <s v="Wealth Creation"/>
    <s v="1-3 years"/>
    <s v="Monthly"/>
    <s v="20%-30%"/>
    <s v="Fixed Deposits"/>
    <x v="1"/>
    <s v="Dividend"/>
    <s v="Better Returns"/>
    <s v="Assured Returns"/>
    <s v="Risk Free"/>
    <x v="1"/>
  </r>
  <r>
    <m/>
    <m/>
    <x v="1"/>
    <x v="5"/>
    <x v="0"/>
    <n v="2"/>
    <n v="3"/>
    <n v="7"/>
    <n v="5"/>
    <n v="4"/>
    <n v="1"/>
    <n v="6"/>
    <s v="Yes"/>
    <s v="Returns"/>
    <s v="Capital Appreciation"/>
    <s v="Wealth Creation"/>
    <s v="1-3 years"/>
    <s v="Monthly"/>
    <s v="20%-30%"/>
    <s v="Mutual Fund"/>
    <x v="1"/>
    <s v="Capital Appreciation"/>
    <s v="Fund Diversification"/>
    <s v="Assured Returns"/>
    <s v="Risk Free"/>
    <x v="0"/>
  </r>
  <r>
    <m/>
    <m/>
    <x v="0"/>
    <x v="10"/>
    <x v="0"/>
    <n v="3"/>
    <n v="2"/>
    <n v="7"/>
    <n v="5"/>
    <n v="4"/>
    <n v="1"/>
    <n v="6"/>
    <s v="Yes"/>
    <s v="Risk"/>
    <s v="Growth"/>
    <s v="Wealth Creation"/>
    <s v="1-3 years"/>
    <s v="Monthly"/>
    <s v="20%-30%"/>
    <s v="Fixed Deposits"/>
    <x v="1"/>
    <s v="Capital Appreciation"/>
    <s v="Fund Diversification"/>
    <s v="Assured Returns"/>
    <s v="Risk Free"/>
    <x v="2"/>
  </r>
  <r>
    <m/>
    <m/>
    <x v="1"/>
    <x v="5"/>
    <x v="0"/>
    <n v="3"/>
    <n v="2"/>
    <n v="7"/>
    <n v="4"/>
    <n v="5"/>
    <n v="1"/>
    <n v="6"/>
    <s v="Yes"/>
    <s v="Returns"/>
    <s v="Capital Appreciation"/>
    <s v="Wealth Creation"/>
    <s v="1-3 years"/>
    <s v="Monthly"/>
    <s v="20%-30%"/>
    <s v="Mutual Fund"/>
    <x v="0"/>
    <s v="Capital Appreciation"/>
    <s v="Better Returns"/>
    <s v="Assured Returns"/>
    <s v="Risk Free"/>
    <x v="1"/>
  </r>
  <r>
    <m/>
    <m/>
    <x v="1"/>
    <x v="9"/>
    <x v="0"/>
    <n v="3"/>
    <n v="2"/>
    <n v="7"/>
    <n v="4"/>
    <n v="5"/>
    <n v="1"/>
    <n v="6"/>
    <s v="Yes"/>
    <s v="Risk"/>
    <s v="Capital Appreciation"/>
    <s v="Wealth Creation"/>
    <s v="1-3 years"/>
    <s v="Monthly"/>
    <s v="20%-30%"/>
    <s v="Mutual Fund"/>
    <x v="0"/>
    <s v="Capital Appreciation"/>
    <s v="Better Returns"/>
    <s v="Assured Returns"/>
    <s v="Risk Free"/>
    <x v="0"/>
  </r>
  <r>
    <m/>
    <m/>
    <x v="1"/>
    <x v="12"/>
    <x v="0"/>
    <n v="3"/>
    <n v="4"/>
    <n v="6"/>
    <n v="5"/>
    <n v="1"/>
    <n v="2"/>
    <n v="7"/>
    <s v="Yes"/>
    <s v="Risk"/>
    <s v="Capital Appreciation"/>
    <s v="Wealth Creation"/>
    <s v="3-5 years"/>
    <s v="Monthly"/>
    <s v="20%-30%"/>
    <s v="Fixed Deposits"/>
    <x v="1"/>
    <s v="Capital Appreciation"/>
    <s v="Fund Diversification"/>
    <s v="Assured Returns"/>
    <s v="Risk Free"/>
    <x v="0"/>
  </r>
  <r>
    <m/>
    <m/>
    <x v="1"/>
    <x v="9"/>
    <x v="0"/>
    <n v="2"/>
    <n v="4"/>
    <n v="7"/>
    <n v="5"/>
    <n v="3"/>
    <n v="1"/>
    <n v="6"/>
    <s v="Yes"/>
    <s v="Returns"/>
    <s v="Growth"/>
    <s v="Wealth Creation"/>
    <s v="3-5 years"/>
    <s v="Weekly"/>
    <s v="20%-30%"/>
    <s v="Mutual Fund"/>
    <x v="0"/>
    <s v="Capital Appreciation"/>
    <s v="Better Returns"/>
    <s v="Assured Returns"/>
    <s v="Fixed Returns"/>
    <x v="1"/>
  </r>
  <r>
    <m/>
    <m/>
    <x v="0"/>
    <x v="4"/>
    <x v="0"/>
    <n v="2"/>
    <n v="4"/>
    <n v="5"/>
    <n v="6"/>
    <n v="3"/>
    <n v="1"/>
    <n v="7"/>
    <s v="Yes"/>
    <s v="Risk"/>
    <s v="Capital Appreciation"/>
    <s v="Wealth Creation"/>
    <s v="3-5 years"/>
    <s v="Monthly"/>
    <s v="20%-30%"/>
    <s v="Equity"/>
    <x v="1"/>
    <s v="Capital Appreciation"/>
    <s v="Better Returns"/>
    <s v="Assured Returns"/>
    <s v="Risk Free"/>
    <x v="0"/>
  </r>
  <r>
    <m/>
    <m/>
    <x v="1"/>
    <x v="5"/>
    <x v="0"/>
    <n v="3"/>
    <n v="4"/>
    <n v="6"/>
    <n v="5"/>
    <n v="2"/>
    <n v="1"/>
    <n v="7"/>
    <s v="Yes"/>
    <s v="Returns"/>
    <s v="Capital Appreciation"/>
    <s v="Wealth Creation"/>
    <s v="3-5 years"/>
    <s v="Monthly"/>
    <s v="20%-30%"/>
    <s v="Mutual Fund"/>
    <x v="0"/>
    <s v="Capital Appreciation"/>
    <s v="Better Returns"/>
    <s v="Assured Returns"/>
    <s v="Risk Free"/>
    <x v="1"/>
  </r>
  <r>
    <m/>
    <m/>
    <x v="1"/>
    <x v="11"/>
    <x v="0"/>
    <n v="2"/>
    <n v="4"/>
    <n v="6"/>
    <n v="5"/>
    <n v="3"/>
    <n v="1"/>
    <n v="7"/>
    <s v="Yes"/>
    <s v="Risk"/>
    <s v="Growth"/>
    <s v="Savings for Future"/>
    <s v="3-5 years"/>
    <s v="Weekly"/>
    <s v="20%-30%"/>
    <s v="Public Provident Fund"/>
    <x v="1"/>
    <s v="Liquidity"/>
    <s v="Better Returns"/>
    <s v="Assured Returns"/>
    <s v="Risk Free"/>
    <x v="1"/>
  </r>
  <r>
    <m/>
    <m/>
    <x v="0"/>
    <x v="12"/>
    <x v="0"/>
    <n v="2"/>
    <n v="3"/>
    <n v="7"/>
    <n v="5"/>
    <n v="4"/>
    <n v="1"/>
    <n v="6"/>
    <s v="Yes"/>
    <s v="Returns"/>
    <s v="Capital Appreciation"/>
    <s v="Wealth Creation"/>
    <s v="3-5 years"/>
    <s v="Monthly"/>
    <s v="30%-40%"/>
    <s v="Public Provident Fund"/>
    <x v="0"/>
    <s v="Capital Appreciation"/>
    <s v="Better Returns"/>
    <s v="Assured Returns"/>
    <s v="Risk Free"/>
    <x v="0"/>
  </r>
  <r>
    <m/>
    <m/>
    <x v="0"/>
    <x v="13"/>
    <x v="0"/>
    <n v="3"/>
    <n v="4"/>
    <n v="7"/>
    <n v="5"/>
    <n v="1"/>
    <n v="2"/>
    <n v="6"/>
    <s v="Yes"/>
    <s v="Risk"/>
    <s v="Growth"/>
    <s v="Wealth Creation"/>
    <s v="3-5 years"/>
    <s v="Monthly"/>
    <s v="20%-30%"/>
    <s v="Mutual Fund"/>
    <x v="0"/>
    <s v="Capital Appreciation"/>
    <s v="Better Returns"/>
    <s v="Assured Returns"/>
    <s v="Fixed Returns"/>
    <x v="1"/>
  </r>
  <r>
    <m/>
    <m/>
    <x v="1"/>
    <x v="12"/>
    <x v="0"/>
    <n v="3"/>
    <n v="4"/>
    <n v="6"/>
    <n v="5"/>
    <n v="1"/>
    <n v="2"/>
    <n v="7"/>
    <s v="Yes"/>
    <s v="Returns"/>
    <s v="Capital Appreciation"/>
    <s v="Wealth Creation"/>
    <s v="3-5 years"/>
    <s v="Monthly"/>
    <s v="20%-30%"/>
    <s v="Mutual Fund"/>
    <x v="0"/>
    <s v="Dividend"/>
    <s v="Fund Diversification"/>
    <s v="Assured Returns"/>
    <s v="Fixed Returns"/>
    <x v="1"/>
  </r>
  <r>
    <m/>
    <m/>
    <x v="1"/>
    <x v="8"/>
    <x v="0"/>
    <n v="2"/>
    <n v="3"/>
    <n v="7"/>
    <n v="6"/>
    <n v="4"/>
    <n v="1"/>
    <n v="5"/>
    <s v="Yes"/>
    <s v="Risk"/>
    <s v="Growth"/>
    <s v="Savings for Future"/>
    <s v="1-3 years"/>
    <s v="Monthly"/>
    <s v="20%-30%"/>
    <s v="Fixed Deposits"/>
    <x v="1"/>
    <s v="Capital Appreciation"/>
    <s v="Fund Diversification"/>
    <s v="Safe Investment"/>
    <s v="Fixed Returns"/>
    <x v="2"/>
  </r>
  <r>
    <m/>
    <m/>
    <x v="1"/>
    <x v="9"/>
    <x v="0"/>
    <n v="2"/>
    <n v="3"/>
    <n v="6"/>
    <n v="5"/>
    <n v="1"/>
    <n v="4"/>
    <n v="7"/>
    <s v="Yes"/>
    <s v="Returns"/>
    <s v="Capital Appreciation"/>
    <s v="Wealth Creation"/>
    <s v="1-3 years"/>
    <s v="Monthly"/>
    <s v="20%-30%"/>
    <s v="Equity"/>
    <x v="0"/>
    <s v="Capital Appreciation"/>
    <s v="Better Returns"/>
    <s v="Assured Returns"/>
    <s v="Risk Free"/>
    <x v="2"/>
  </r>
  <r>
    <m/>
    <m/>
    <x v="0"/>
    <x v="0"/>
    <x v="0"/>
    <n v="5"/>
    <n v="4"/>
    <n v="3"/>
    <n v="2"/>
    <n v="7"/>
    <n v="1"/>
    <n v="6"/>
    <s v="Yes"/>
    <s v="Returns"/>
    <s v="Income"/>
    <s v="Returns"/>
    <s v="3-5 years"/>
    <s v="Monthly"/>
    <s v="10%-20%"/>
    <s v="Mutual Fund"/>
    <x v="0"/>
    <s v="Capital Appreciation"/>
    <s v="Tax Benefits"/>
    <s v="Safe Investment"/>
    <s v="Fixed Returns"/>
    <x v="0"/>
  </r>
  <r>
    <m/>
    <m/>
    <x v="1"/>
    <x v="5"/>
    <x v="0"/>
    <n v="4"/>
    <n v="5"/>
    <n v="1"/>
    <n v="2"/>
    <n v="7"/>
    <n v="3"/>
    <n v="6"/>
    <s v="No"/>
    <s v="Returns"/>
    <s v="Growth"/>
    <s v="Wealth Creation"/>
    <s v="1-3 years"/>
    <s v="Monthly"/>
    <s v="10%-20%"/>
    <s v="Mutual Fund"/>
    <x v="2"/>
    <s v="Capital Appreciation"/>
    <s v="Tax Benefits"/>
    <s v="Safe Investment"/>
    <s v="Fixed Returns"/>
    <x v="2"/>
  </r>
  <r>
    <m/>
    <m/>
    <x v="0"/>
    <x v="8"/>
    <x v="0"/>
    <n v="2"/>
    <n v="4"/>
    <n v="7"/>
    <n v="6"/>
    <n v="3"/>
    <n v="1"/>
    <n v="5"/>
    <s v="Yes"/>
    <s v="Returns"/>
    <s v="Capital Appreciation"/>
    <s v="Wealth Creation"/>
    <s v="3-5 years"/>
    <s v="Monthly"/>
    <s v="20%-30%"/>
    <s v="Fixed Deposits"/>
    <x v="0"/>
    <s v="Capital Appreciation"/>
    <s v="Better Returns"/>
    <s v="Assured Returns"/>
    <s v="Fixed Returns"/>
    <x v="1"/>
  </r>
  <r>
    <m/>
    <m/>
    <x v="1"/>
    <x v="5"/>
    <x v="0"/>
    <n v="2"/>
    <n v="4"/>
    <n v="7"/>
    <n v="5"/>
    <n v="1"/>
    <n v="3"/>
    <n v="6"/>
    <s v="Yes"/>
    <s v="Returns"/>
    <s v="Capital Appreciation"/>
    <s v="Wealth Creation"/>
    <s v="3-5 years"/>
    <s v="Monthly"/>
    <s v="30%-40%"/>
    <s v="Equity"/>
    <x v="1"/>
    <s v="Capital Appreciation"/>
    <s v="Fund Diversification"/>
    <s v="Assured Returns"/>
    <s v="Fixed Returns"/>
    <x v="0"/>
  </r>
  <r>
    <m/>
    <m/>
    <x v="1"/>
    <x v="12"/>
    <x v="0"/>
    <n v="2"/>
    <n v="3"/>
    <n v="6"/>
    <n v="4"/>
    <n v="1"/>
    <n v="5"/>
    <n v="7"/>
    <s v="Yes"/>
    <s v="Returns"/>
    <s v="Capital Appreciation"/>
    <s v="Returns"/>
    <s v="1-3 years"/>
    <s v="Monthly"/>
    <s v="20%-30%"/>
    <s v="Fixed Deposits"/>
    <x v="2"/>
    <s v="Dividend"/>
    <s v="Better Returns"/>
    <s v="Safe Investment"/>
    <s v="Risk Free"/>
    <x v="0"/>
  </r>
  <r>
    <m/>
    <m/>
    <x v="1"/>
    <x v="5"/>
    <x v="0"/>
    <n v="2"/>
    <n v="3"/>
    <n v="6"/>
    <n v="5"/>
    <n v="4"/>
    <n v="1"/>
    <n v="7"/>
    <s v="Yes"/>
    <s v="Returns"/>
    <s v="Capital Appreciation"/>
    <s v="Wealth Creation"/>
    <s v="1-3 years"/>
    <s v="Weekly"/>
    <s v="20%-30%"/>
    <s v="Mutual Fund"/>
    <x v="1"/>
    <s v="Capital Appreciation"/>
    <s v="Better Returns"/>
    <s v="Safe Investment"/>
    <s v="Fixed Returns"/>
    <x v="1"/>
  </r>
  <r>
    <m/>
    <m/>
    <x v="1"/>
    <x v="2"/>
    <x v="0"/>
    <n v="1"/>
    <n v="4"/>
    <n v="6"/>
    <n v="5"/>
    <n v="3"/>
    <n v="2"/>
    <n v="7"/>
    <s v="Yes"/>
    <s v="Risk"/>
    <s v="Growth"/>
    <s v="Wealth Creation"/>
    <s v="3-5 years"/>
    <s v="Monthly"/>
    <s v="20%-30%"/>
    <s v="Fixed Deposits"/>
    <x v="1"/>
    <s v="Capital Appreciation"/>
    <s v="Better Returns"/>
    <s v="Assured Returns"/>
    <s v="Fixed Returns"/>
    <x v="1"/>
  </r>
  <r>
    <m/>
    <m/>
    <x v="1"/>
    <x v="2"/>
    <x v="0"/>
    <n v="2"/>
    <n v="4"/>
    <n v="7"/>
    <n v="5"/>
    <n v="1"/>
    <n v="3"/>
    <n v="6"/>
    <s v="Yes"/>
    <s v="Returns"/>
    <s v="Capital Appreciation"/>
    <s v="Wealth Creation"/>
    <s v="1-3 years"/>
    <s v="Monthly"/>
    <s v="20%-30%"/>
    <s v="Equity"/>
    <x v="0"/>
    <s v="Capital Appreciation"/>
    <s v="Better Returns"/>
    <s v="Assured Returns"/>
    <s v="Risk Free"/>
    <x v="0"/>
  </r>
  <r>
    <m/>
    <m/>
    <x v="1"/>
    <x v="11"/>
    <x v="0"/>
    <n v="5"/>
    <n v="4"/>
    <n v="7"/>
    <n v="6"/>
    <n v="1"/>
    <n v="2"/>
    <n v="3"/>
    <s v="Yes"/>
    <s v="Risk"/>
    <s v="Growth"/>
    <s v="Savings for Future"/>
    <s v="3-5 years"/>
    <s v="Monthly"/>
    <s v="30%-40%"/>
    <s v="Public Provident Fund"/>
    <x v="1"/>
    <s v="Capital Appreciation"/>
    <s v="Better Returns"/>
    <s v="Safe Investment"/>
    <s v="Fixed Returns"/>
    <x v="1"/>
  </r>
  <r>
    <m/>
    <m/>
    <x v="1"/>
    <x v="8"/>
    <x v="0"/>
    <n v="2"/>
    <n v="4"/>
    <n v="7"/>
    <n v="5"/>
    <n v="3"/>
    <n v="1"/>
    <n v="6"/>
    <s v="Yes"/>
    <s v="Risk"/>
    <s v="Growth"/>
    <s v="Wealth Creation"/>
    <s v="1-3 years"/>
    <s v="Weekly"/>
    <s v="20%-30%"/>
    <s v="Equity"/>
    <x v="1"/>
    <s v="Dividend"/>
    <s v="Fund Diversification"/>
    <s v="Assured Returns"/>
    <s v="Fixed Returns"/>
    <x v="0"/>
  </r>
  <r>
    <m/>
    <m/>
    <x v="1"/>
    <x v="9"/>
    <x v="0"/>
    <n v="4"/>
    <n v="3"/>
    <n v="5"/>
    <n v="7"/>
    <n v="2"/>
    <n v="1"/>
    <n v="6"/>
    <s v="Yes"/>
    <s v="Returns"/>
    <s v="Capital Appreciation"/>
    <s v="Wealth Creation"/>
    <s v="3-5 years"/>
    <s v="Monthly"/>
    <s v="20%-30%"/>
    <s v="Fixed Deposits"/>
    <x v="0"/>
    <s v="Dividend"/>
    <s v="Better Returns"/>
    <s v="Safe Investment"/>
    <s v="Fixed Returns"/>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25"/>
    <n v="15"/>
    <s v="Female"/>
    <x v="0"/>
    <s v="Yes"/>
    <n v="1"/>
    <n v="2"/>
    <n v="5"/>
    <n v="3"/>
    <n v="7"/>
    <n v="6"/>
    <n v="4"/>
    <s v="Yes"/>
    <s v="Returns"/>
    <s v="Capital Appreciation"/>
    <x v="0"/>
    <x v="0"/>
    <s v="Monthly"/>
    <x v="0"/>
    <s v="Mutual Fund"/>
    <x v="0"/>
    <s v="Capital Appreciation"/>
    <s v="Better Returns"/>
    <s v="Safe Investment"/>
    <s v="Fixed Returns"/>
    <x v="0"/>
    <x v="0"/>
  </r>
  <r>
    <m/>
    <m/>
    <s v="Female"/>
    <x v="1"/>
    <s v="Yes"/>
    <n v="4"/>
    <n v="3"/>
    <n v="2"/>
    <n v="1"/>
    <n v="5"/>
    <n v="6"/>
    <n v="7"/>
    <s v="No"/>
    <s v="Locking Period"/>
    <s v="Capital Appreciation"/>
    <x v="0"/>
    <x v="1"/>
    <s v="Weekly"/>
    <x v="0"/>
    <s v="Mutual Fund"/>
    <x v="1"/>
    <s v="Dividend"/>
    <s v="Better Returns"/>
    <s v="Safe Investment"/>
    <s v="High Interest Rates"/>
    <x v="1"/>
    <x v="1"/>
  </r>
  <r>
    <m/>
    <m/>
    <s v="Male"/>
    <x v="2"/>
    <s v="Yes"/>
    <n v="3"/>
    <n v="6"/>
    <n v="4"/>
    <n v="2"/>
    <n v="5"/>
    <n v="1"/>
    <n v="7"/>
    <s v="Yes"/>
    <s v="Returns"/>
    <s v="Capital Appreciation"/>
    <x v="0"/>
    <x v="2"/>
    <s v="Daily"/>
    <x v="0"/>
    <s v="Equity"/>
    <x v="0"/>
    <s v="Capital Appreciation"/>
    <s v="Tax Benefits"/>
    <s v="Assured Returns"/>
    <s v="Fixed Returns"/>
    <x v="2"/>
    <x v="2"/>
  </r>
  <r>
    <m/>
    <m/>
    <s v="Male"/>
    <x v="3"/>
    <s v="Yes"/>
    <n v="2"/>
    <n v="1"/>
    <n v="3"/>
    <n v="7"/>
    <n v="6"/>
    <n v="4"/>
    <n v="5"/>
    <s v="Yes"/>
    <s v="Returns"/>
    <s v="Income"/>
    <x v="0"/>
    <x v="3"/>
    <s v="Daily"/>
    <x v="1"/>
    <s v="Equity"/>
    <x v="0"/>
    <s v="Dividend"/>
    <s v="Fund Diversification"/>
    <s v="Tax Incentives"/>
    <s v="High Interest Rates"/>
    <x v="3"/>
    <x v="3"/>
  </r>
  <r>
    <m/>
    <m/>
    <s v="Female"/>
    <x v="4"/>
    <s v="No"/>
    <n v="2"/>
    <n v="1"/>
    <n v="3"/>
    <n v="6"/>
    <n v="4"/>
    <n v="5"/>
    <n v="7"/>
    <s v="No"/>
    <s v="Returns"/>
    <s v="Income"/>
    <x v="0"/>
    <x v="3"/>
    <s v="Daily"/>
    <x v="0"/>
    <s v="Equity"/>
    <x v="0"/>
    <s v="Capital Appreciation"/>
    <s v="Better Returns"/>
    <s v="Safe Investment"/>
    <s v="Risk Free"/>
    <x v="3"/>
    <x v="4"/>
  </r>
  <r>
    <m/>
    <m/>
    <s v="Female"/>
    <x v="4"/>
    <s v="No"/>
    <n v="7"/>
    <n v="5"/>
    <n v="4"/>
    <n v="6"/>
    <n v="3"/>
    <n v="1"/>
    <n v="2"/>
    <s v="No"/>
    <s v="Risk"/>
    <s v="Capital Appreciation"/>
    <x v="0"/>
    <x v="0"/>
    <s v="Daily"/>
    <x v="2"/>
    <s v="Mutual Fund"/>
    <x v="0"/>
    <s v="Liquidity"/>
    <s v="Fund Diversification"/>
    <s v="Safe Investment"/>
    <s v="Risk Free"/>
    <x v="3"/>
    <x v="5"/>
  </r>
  <r>
    <m/>
    <m/>
    <s v="Female"/>
    <x v="5"/>
    <s v="Yes"/>
    <n v="3"/>
    <n v="6"/>
    <n v="4"/>
    <n v="2"/>
    <n v="5"/>
    <n v="1"/>
    <n v="7"/>
    <s v="Yes"/>
    <s v="Returns"/>
    <s v="Capital Appreciation"/>
    <x v="0"/>
    <x v="2"/>
    <s v="Monthly"/>
    <x v="0"/>
    <s v="Equity"/>
    <x v="0"/>
    <s v="Capital Appreciation"/>
    <s v="Better Returns"/>
    <s v="Assured Returns"/>
    <s v="High Interest Rates"/>
    <x v="1"/>
    <x v="6"/>
  </r>
  <r>
    <m/>
    <m/>
    <s v="Male"/>
    <x v="6"/>
    <s v="Yes"/>
    <n v="2"/>
    <n v="3"/>
    <n v="7"/>
    <n v="4"/>
    <n v="6"/>
    <n v="1"/>
    <n v="5"/>
    <s v="Yes"/>
    <s v="Risk"/>
    <s v="Capital Appreciation"/>
    <x v="0"/>
    <x v="2"/>
    <s v="Monthly"/>
    <x v="0"/>
    <s v="Mutual Fund"/>
    <x v="0"/>
    <s v="Capital Appreciation"/>
    <s v="Better Returns"/>
    <s v="Assured Returns"/>
    <s v="Risk Free"/>
    <x v="0"/>
    <x v="7"/>
  </r>
  <r>
    <m/>
    <m/>
    <s v="Male"/>
    <x v="7"/>
    <s v="Yes"/>
    <n v="2"/>
    <n v="4"/>
    <n v="7"/>
    <n v="5"/>
    <n v="3"/>
    <n v="1"/>
    <n v="6"/>
    <s v="Yes"/>
    <s v="Returns"/>
    <s v="Growth"/>
    <x v="1"/>
    <x v="0"/>
    <s v="Weekly"/>
    <x v="0"/>
    <s v="Equity"/>
    <x v="0"/>
    <s v="Capital Appreciation"/>
    <s v="Fund Diversification"/>
    <s v="Safe Investment"/>
    <s v="Fixed Returns"/>
    <x v="2"/>
    <x v="8"/>
  </r>
  <r>
    <m/>
    <m/>
    <s v="Male"/>
    <x v="8"/>
    <s v="Yes"/>
    <n v="1"/>
    <n v="3"/>
    <n v="7"/>
    <n v="4"/>
    <n v="5"/>
    <n v="2"/>
    <n v="6"/>
    <s v="Yes"/>
    <s v="Returns"/>
    <s v="Capital Appreciation"/>
    <x v="0"/>
    <x v="2"/>
    <s v="Monthly"/>
    <x v="2"/>
    <s v="Fixed Deposits"/>
    <x v="0"/>
    <s v="Capital Appreciation"/>
    <s v="Fund Diversification"/>
    <s v="Assured Returns"/>
    <s v="Fixed Returns"/>
    <x v="0"/>
    <x v="9"/>
  </r>
  <r>
    <m/>
    <m/>
    <s v="Female"/>
    <x v="7"/>
    <s v="Yes"/>
    <n v="2"/>
    <n v="4"/>
    <n v="7"/>
    <n v="5"/>
    <n v="3"/>
    <n v="1"/>
    <n v="6"/>
    <s v="Yes"/>
    <s v="Risk"/>
    <s v="Growth"/>
    <x v="1"/>
    <x v="2"/>
    <s v="Monthly"/>
    <x v="0"/>
    <s v="Mutual Fund"/>
    <x v="0"/>
    <s v="Capital Appreciation"/>
    <s v="Better Returns"/>
    <s v="Assured Returns"/>
    <s v="Risk Free"/>
    <x v="1"/>
    <x v="10"/>
  </r>
  <r>
    <m/>
    <m/>
    <s v="Male"/>
    <x v="9"/>
    <s v="Yes"/>
    <n v="2"/>
    <n v="5"/>
    <n v="7"/>
    <n v="6"/>
    <n v="3"/>
    <n v="1"/>
    <n v="4"/>
    <s v="Yes"/>
    <s v="Risk"/>
    <s v="Capital Appreciation"/>
    <x v="0"/>
    <x v="0"/>
    <s v="Monthly"/>
    <x v="0"/>
    <s v="Mutual Fund"/>
    <x v="0"/>
    <s v="Capital Appreciation"/>
    <s v="Fund Diversification"/>
    <s v="Assured Returns"/>
    <s v="Fixed Returns"/>
    <x v="1"/>
    <x v="11"/>
  </r>
  <r>
    <m/>
    <m/>
    <s v="Female"/>
    <x v="6"/>
    <s v="No"/>
    <n v="1"/>
    <n v="2"/>
    <n v="3"/>
    <n v="4"/>
    <n v="5"/>
    <n v="6"/>
    <n v="7"/>
    <s v="No"/>
    <s v="Returns"/>
    <s v="Capital Appreciation"/>
    <x v="1"/>
    <x v="0"/>
    <s v="Weekly"/>
    <x v="0"/>
    <s v="Mutual Fund"/>
    <x v="2"/>
    <s v="Dividend"/>
    <s v="Better Returns"/>
    <s v="Safe Investment"/>
    <s v="Risk Free"/>
    <x v="3"/>
    <x v="12"/>
  </r>
  <r>
    <m/>
    <m/>
    <s v="Female"/>
    <x v="10"/>
    <s v="Yes"/>
    <n v="2"/>
    <n v="3"/>
    <n v="7"/>
    <n v="4"/>
    <n v="5"/>
    <n v="1"/>
    <n v="6"/>
    <s v="Yes"/>
    <s v="Returns"/>
    <s v="Capital Appreciation"/>
    <x v="0"/>
    <x v="0"/>
    <s v="Monthly"/>
    <x v="0"/>
    <s v="Mutual Fund"/>
    <x v="0"/>
    <s v="Capital Appreciation"/>
    <s v="Fund Diversification"/>
    <s v="Assured Returns"/>
    <s v="Risk Free"/>
    <x v="0"/>
    <x v="12"/>
  </r>
  <r>
    <m/>
    <m/>
    <s v="Female"/>
    <x v="11"/>
    <s v="Yes"/>
    <n v="2"/>
    <n v="3"/>
    <n v="7"/>
    <n v="5"/>
    <n v="4"/>
    <n v="1"/>
    <n v="6"/>
    <s v="Yes"/>
    <s v="Returns"/>
    <s v="Capital Appreciation"/>
    <x v="0"/>
    <x v="0"/>
    <s v="Monthly"/>
    <x v="0"/>
    <s v="Fixed Deposits"/>
    <x v="1"/>
    <s v="Dividend"/>
    <s v="Better Returns"/>
    <s v="Assured Returns"/>
    <s v="Risk Free"/>
    <x v="1"/>
    <x v="12"/>
  </r>
  <r>
    <m/>
    <m/>
    <s v="Male"/>
    <x v="5"/>
    <s v="Yes"/>
    <n v="2"/>
    <n v="3"/>
    <n v="7"/>
    <n v="5"/>
    <n v="4"/>
    <n v="1"/>
    <n v="6"/>
    <s v="Yes"/>
    <s v="Returns"/>
    <s v="Capital Appreciation"/>
    <x v="0"/>
    <x v="0"/>
    <s v="Monthly"/>
    <x v="0"/>
    <s v="Mutual Fund"/>
    <x v="1"/>
    <s v="Capital Appreciation"/>
    <s v="Fund Diversification"/>
    <s v="Assured Returns"/>
    <s v="Risk Free"/>
    <x v="0"/>
    <x v="12"/>
  </r>
  <r>
    <m/>
    <m/>
    <s v="Female"/>
    <x v="10"/>
    <s v="Yes"/>
    <n v="3"/>
    <n v="2"/>
    <n v="7"/>
    <n v="5"/>
    <n v="4"/>
    <n v="1"/>
    <n v="6"/>
    <s v="Yes"/>
    <s v="Risk"/>
    <s v="Growth"/>
    <x v="0"/>
    <x v="0"/>
    <s v="Monthly"/>
    <x v="0"/>
    <s v="Fixed Deposits"/>
    <x v="1"/>
    <s v="Capital Appreciation"/>
    <s v="Fund Diversification"/>
    <s v="Assured Returns"/>
    <s v="Risk Free"/>
    <x v="2"/>
    <x v="12"/>
  </r>
  <r>
    <m/>
    <m/>
    <s v="Male"/>
    <x v="5"/>
    <s v="Yes"/>
    <n v="3"/>
    <n v="2"/>
    <n v="7"/>
    <n v="4"/>
    <n v="5"/>
    <n v="1"/>
    <n v="6"/>
    <s v="Yes"/>
    <s v="Returns"/>
    <s v="Capital Appreciation"/>
    <x v="0"/>
    <x v="0"/>
    <s v="Monthly"/>
    <x v="0"/>
    <s v="Mutual Fund"/>
    <x v="0"/>
    <s v="Capital Appreciation"/>
    <s v="Better Returns"/>
    <s v="Assured Returns"/>
    <s v="Risk Free"/>
    <x v="1"/>
    <x v="12"/>
  </r>
  <r>
    <m/>
    <m/>
    <s v="Male"/>
    <x v="9"/>
    <s v="Yes"/>
    <n v="3"/>
    <n v="2"/>
    <n v="7"/>
    <n v="4"/>
    <n v="5"/>
    <n v="1"/>
    <n v="6"/>
    <s v="Yes"/>
    <s v="Risk"/>
    <s v="Capital Appreciation"/>
    <x v="0"/>
    <x v="0"/>
    <s v="Monthly"/>
    <x v="0"/>
    <s v="Mutual Fund"/>
    <x v="0"/>
    <s v="Capital Appreciation"/>
    <s v="Better Returns"/>
    <s v="Assured Returns"/>
    <s v="Risk Free"/>
    <x v="0"/>
    <x v="12"/>
  </r>
  <r>
    <m/>
    <m/>
    <s v="Male"/>
    <x v="12"/>
    <s v="Yes"/>
    <n v="3"/>
    <n v="4"/>
    <n v="6"/>
    <n v="5"/>
    <n v="1"/>
    <n v="2"/>
    <n v="7"/>
    <s v="Yes"/>
    <s v="Risk"/>
    <s v="Capital Appreciation"/>
    <x v="0"/>
    <x v="2"/>
    <s v="Monthly"/>
    <x v="0"/>
    <s v="Fixed Deposits"/>
    <x v="1"/>
    <s v="Capital Appreciation"/>
    <s v="Fund Diversification"/>
    <s v="Assured Returns"/>
    <s v="Risk Free"/>
    <x v="0"/>
    <x v="12"/>
  </r>
  <r>
    <m/>
    <m/>
    <s v="Male"/>
    <x v="9"/>
    <s v="Yes"/>
    <n v="2"/>
    <n v="4"/>
    <n v="7"/>
    <n v="5"/>
    <n v="3"/>
    <n v="1"/>
    <n v="6"/>
    <s v="Yes"/>
    <s v="Returns"/>
    <s v="Growth"/>
    <x v="0"/>
    <x v="2"/>
    <s v="Weekly"/>
    <x v="0"/>
    <s v="Mutual Fund"/>
    <x v="0"/>
    <s v="Capital Appreciation"/>
    <s v="Better Returns"/>
    <s v="Assured Returns"/>
    <s v="Fixed Returns"/>
    <x v="1"/>
    <x v="12"/>
  </r>
  <r>
    <m/>
    <m/>
    <s v="Female"/>
    <x v="4"/>
    <s v="Yes"/>
    <n v="2"/>
    <n v="4"/>
    <n v="5"/>
    <n v="6"/>
    <n v="3"/>
    <n v="1"/>
    <n v="7"/>
    <s v="Yes"/>
    <s v="Risk"/>
    <s v="Capital Appreciation"/>
    <x v="0"/>
    <x v="2"/>
    <s v="Monthly"/>
    <x v="0"/>
    <s v="Equity"/>
    <x v="1"/>
    <s v="Capital Appreciation"/>
    <s v="Better Returns"/>
    <s v="Assured Returns"/>
    <s v="Risk Free"/>
    <x v="0"/>
    <x v="12"/>
  </r>
  <r>
    <m/>
    <m/>
    <s v="Male"/>
    <x v="5"/>
    <s v="Yes"/>
    <n v="3"/>
    <n v="4"/>
    <n v="6"/>
    <n v="5"/>
    <n v="2"/>
    <n v="1"/>
    <n v="7"/>
    <s v="Yes"/>
    <s v="Returns"/>
    <s v="Capital Appreciation"/>
    <x v="0"/>
    <x v="2"/>
    <s v="Monthly"/>
    <x v="0"/>
    <s v="Mutual Fund"/>
    <x v="0"/>
    <s v="Capital Appreciation"/>
    <s v="Better Returns"/>
    <s v="Assured Returns"/>
    <s v="Risk Free"/>
    <x v="1"/>
    <x v="12"/>
  </r>
  <r>
    <m/>
    <m/>
    <s v="Male"/>
    <x v="11"/>
    <s v="Yes"/>
    <n v="2"/>
    <n v="4"/>
    <n v="6"/>
    <n v="5"/>
    <n v="3"/>
    <n v="1"/>
    <n v="7"/>
    <s v="Yes"/>
    <s v="Risk"/>
    <s v="Growth"/>
    <x v="1"/>
    <x v="2"/>
    <s v="Weekly"/>
    <x v="0"/>
    <s v="Public Provident Fund"/>
    <x v="1"/>
    <s v="Liquidity"/>
    <s v="Better Returns"/>
    <s v="Assured Returns"/>
    <s v="Risk Free"/>
    <x v="1"/>
    <x v="12"/>
  </r>
  <r>
    <m/>
    <m/>
    <s v="Female"/>
    <x v="12"/>
    <s v="Yes"/>
    <n v="2"/>
    <n v="3"/>
    <n v="7"/>
    <n v="5"/>
    <n v="4"/>
    <n v="1"/>
    <n v="6"/>
    <s v="Yes"/>
    <s v="Returns"/>
    <s v="Capital Appreciation"/>
    <x v="0"/>
    <x v="2"/>
    <s v="Monthly"/>
    <x v="2"/>
    <s v="Public Provident Fund"/>
    <x v="0"/>
    <s v="Capital Appreciation"/>
    <s v="Better Returns"/>
    <s v="Assured Returns"/>
    <s v="Risk Free"/>
    <x v="0"/>
    <x v="12"/>
  </r>
  <r>
    <m/>
    <m/>
    <s v="Female"/>
    <x v="13"/>
    <s v="Yes"/>
    <n v="3"/>
    <n v="4"/>
    <n v="7"/>
    <n v="5"/>
    <n v="1"/>
    <n v="2"/>
    <n v="6"/>
    <s v="Yes"/>
    <s v="Risk"/>
    <s v="Growth"/>
    <x v="0"/>
    <x v="2"/>
    <s v="Monthly"/>
    <x v="0"/>
    <s v="Mutual Fund"/>
    <x v="0"/>
    <s v="Capital Appreciation"/>
    <s v="Better Returns"/>
    <s v="Assured Returns"/>
    <s v="Fixed Returns"/>
    <x v="1"/>
    <x v="12"/>
  </r>
  <r>
    <m/>
    <m/>
    <s v="Male"/>
    <x v="12"/>
    <s v="Yes"/>
    <n v="3"/>
    <n v="4"/>
    <n v="6"/>
    <n v="5"/>
    <n v="1"/>
    <n v="2"/>
    <n v="7"/>
    <s v="Yes"/>
    <s v="Returns"/>
    <s v="Capital Appreciation"/>
    <x v="0"/>
    <x v="2"/>
    <s v="Monthly"/>
    <x v="0"/>
    <s v="Mutual Fund"/>
    <x v="0"/>
    <s v="Dividend"/>
    <s v="Fund Diversification"/>
    <s v="Assured Returns"/>
    <s v="Fixed Returns"/>
    <x v="1"/>
    <x v="12"/>
  </r>
  <r>
    <m/>
    <m/>
    <s v="Male"/>
    <x v="8"/>
    <s v="Yes"/>
    <n v="2"/>
    <n v="3"/>
    <n v="7"/>
    <n v="6"/>
    <n v="4"/>
    <n v="1"/>
    <n v="5"/>
    <s v="Yes"/>
    <s v="Risk"/>
    <s v="Growth"/>
    <x v="1"/>
    <x v="0"/>
    <s v="Monthly"/>
    <x v="0"/>
    <s v="Fixed Deposits"/>
    <x v="1"/>
    <s v="Capital Appreciation"/>
    <s v="Fund Diversification"/>
    <s v="Safe Investment"/>
    <s v="Fixed Returns"/>
    <x v="2"/>
    <x v="12"/>
  </r>
  <r>
    <m/>
    <m/>
    <s v="Male"/>
    <x v="9"/>
    <s v="Yes"/>
    <n v="2"/>
    <n v="3"/>
    <n v="6"/>
    <n v="5"/>
    <n v="1"/>
    <n v="4"/>
    <n v="7"/>
    <s v="Yes"/>
    <s v="Returns"/>
    <s v="Capital Appreciation"/>
    <x v="0"/>
    <x v="0"/>
    <s v="Monthly"/>
    <x v="0"/>
    <s v="Equity"/>
    <x v="0"/>
    <s v="Capital Appreciation"/>
    <s v="Better Returns"/>
    <s v="Assured Returns"/>
    <s v="Risk Free"/>
    <x v="2"/>
    <x v="12"/>
  </r>
  <r>
    <m/>
    <m/>
    <s v="Female"/>
    <x v="0"/>
    <s v="Yes"/>
    <n v="5"/>
    <n v="4"/>
    <n v="3"/>
    <n v="2"/>
    <n v="7"/>
    <n v="1"/>
    <n v="6"/>
    <s v="Yes"/>
    <s v="Returns"/>
    <s v="Income"/>
    <x v="2"/>
    <x v="2"/>
    <s v="Monthly"/>
    <x v="1"/>
    <s v="Mutual Fund"/>
    <x v="0"/>
    <s v="Capital Appreciation"/>
    <s v="Tax Benefits"/>
    <s v="Safe Investment"/>
    <s v="Fixed Returns"/>
    <x v="0"/>
    <x v="12"/>
  </r>
  <r>
    <m/>
    <m/>
    <s v="Male"/>
    <x v="5"/>
    <s v="Yes"/>
    <n v="4"/>
    <n v="5"/>
    <n v="1"/>
    <n v="2"/>
    <n v="7"/>
    <n v="3"/>
    <n v="6"/>
    <s v="No"/>
    <s v="Returns"/>
    <s v="Growth"/>
    <x v="0"/>
    <x v="0"/>
    <s v="Monthly"/>
    <x v="1"/>
    <s v="Mutual Fund"/>
    <x v="2"/>
    <s v="Capital Appreciation"/>
    <s v="Tax Benefits"/>
    <s v="Safe Investment"/>
    <s v="Fixed Returns"/>
    <x v="2"/>
    <x v="12"/>
  </r>
  <r>
    <m/>
    <m/>
    <s v="Female"/>
    <x v="8"/>
    <s v="Yes"/>
    <n v="2"/>
    <n v="4"/>
    <n v="7"/>
    <n v="6"/>
    <n v="3"/>
    <n v="1"/>
    <n v="5"/>
    <s v="Yes"/>
    <s v="Returns"/>
    <s v="Capital Appreciation"/>
    <x v="0"/>
    <x v="2"/>
    <s v="Monthly"/>
    <x v="0"/>
    <s v="Fixed Deposits"/>
    <x v="0"/>
    <s v="Capital Appreciation"/>
    <s v="Better Returns"/>
    <s v="Assured Returns"/>
    <s v="Fixed Returns"/>
    <x v="1"/>
    <x v="12"/>
  </r>
  <r>
    <m/>
    <m/>
    <s v="Male"/>
    <x v="5"/>
    <s v="Yes"/>
    <n v="2"/>
    <n v="4"/>
    <n v="7"/>
    <n v="5"/>
    <n v="1"/>
    <n v="3"/>
    <n v="6"/>
    <s v="Yes"/>
    <s v="Returns"/>
    <s v="Capital Appreciation"/>
    <x v="0"/>
    <x v="2"/>
    <s v="Monthly"/>
    <x v="2"/>
    <s v="Equity"/>
    <x v="1"/>
    <s v="Capital Appreciation"/>
    <s v="Fund Diversification"/>
    <s v="Assured Returns"/>
    <s v="Fixed Returns"/>
    <x v="0"/>
    <x v="12"/>
  </r>
  <r>
    <m/>
    <m/>
    <s v="Male"/>
    <x v="12"/>
    <s v="Yes"/>
    <n v="2"/>
    <n v="3"/>
    <n v="6"/>
    <n v="4"/>
    <n v="1"/>
    <n v="5"/>
    <n v="7"/>
    <s v="Yes"/>
    <s v="Returns"/>
    <s v="Capital Appreciation"/>
    <x v="2"/>
    <x v="0"/>
    <s v="Monthly"/>
    <x v="0"/>
    <s v="Fixed Deposits"/>
    <x v="2"/>
    <s v="Dividend"/>
    <s v="Better Returns"/>
    <s v="Safe Investment"/>
    <s v="Risk Free"/>
    <x v="0"/>
    <x v="12"/>
  </r>
  <r>
    <m/>
    <m/>
    <s v="Male"/>
    <x v="5"/>
    <s v="Yes"/>
    <n v="2"/>
    <n v="3"/>
    <n v="6"/>
    <n v="5"/>
    <n v="4"/>
    <n v="1"/>
    <n v="7"/>
    <s v="Yes"/>
    <s v="Returns"/>
    <s v="Capital Appreciation"/>
    <x v="0"/>
    <x v="0"/>
    <s v="Weekly"/>
    <x v="0"/>
    <s v="Mutual Fund"/>
    <x v="1"/>
    <s v="Capital Appreciation"/>
    <s v="Better Returns"/>
    <s v="Safe Investment"/>
    <s v="Fixed Returns"/>
    <x v="1"/>
    <x v="12"/>
  </r>
  <r>
    <m/>
    <m/>
    <s v="Male"/>
    <x v="2"/>
    <s v="Yes"/>
    <n v="1"/>
    <n v="4"/>
    <n v="6"/>
    <n v="5"/>
    <n v="3"/>
    <n v="2"/>
    <n v="7"/>
    <s v="Yes"/>
    <s v="Risk"/>
    <s v="Growth"/>
    <x v="0"/>
    <x v="2"/>
    <s v="Monthly"/>
    <x v="0"/>
    <s v="Fixed Deposits"/>
    <x v="1"/>
    <s v="Capital Appreciation"/>
    <s v="Better Returns"/>
    <s v="Assured Returns"/>
    <s v="Fixed Returns"/>
    <x v="1"/>
    <x v="12"/>
  </r>
  <r>
    <m/>
    <m/>
    <s v="Male"/>
    <x v="2"/>
    <s v="Yes"/>
    <n v="2"/>
    <n v="4"/>
    <n v="7"/>
    <n v="5"/>
    <n v="1"/>
    <n v="3"/>
    <n v="6"/>
    <s v="Yes"/>
    <s v="Returns"/>
    <s v="Capital Appreciation"/>
    <x v="0"/>
    <x v="0"/>
    <s v="Monthly"/>
    <x v="0"/>
    <s v="Equity"/>
    <x v="0"/>
    <s v="Capital Appreciation"/>
    <s v="Better Returns"/>
    <s v="Assured Returns"/>
    <s v="Risk Free"/>
    <x v="0"/>
    <x v="12"/>
  </r>
  <r>
    <m/>
    <m/>
    <s v="Male"/>
    <x v="11"/>
    <s v="Yes"/>
    <n v="5"/>
    <n v="4"/>
    <n v="7"/>
    <n v="6"/>
    <n v="1"/>
    <n v="2"/>
    <n v="3"/>
    <s v="Yes"/>
    <s v="Risk"/>
    <s v="Growth"/>
    <x v="1"/>
    <x v="2"/>
    <s v="Monthly"/>
    <x v="2"/>
    <s v="Public Provident Fund"/>
    <x v="1"/>
    <s v="Capital Appreciation"/>
    <s v="Better Returns"/>
    <s v="Safe Investment"/>
    <s v="Fixed Returns"/>
    <x v="1"/>
    <x v="12"/>
  </r>
  <r>
    <m/>
    <m/>
    <s v="Male"/>
    <x v="8"/>
    <s v="Yes"/>
    <n v="2"/>
    <n v="4"/>
    <n v="7"/>
    <n v="5"/>
    <n v="3"/>
    <n v="1"/>
    <n v="6"/>
    <s v="Yes"/>
    <s v="Risk"/>
    <s v="Growth"/>
    <x v="0"/>
    <x v="0"/>
    <s v="Weekly"/>
    <x v="0"/>
    <s v="Equity"/>
    <x v="1"/>
    <s v="Dividend"/>
    <s v="Fund Diversification"/>
    <s v="Assured Returns"/>
    <s v="Fixed Returns"/>
    <x v="0"/>
    <x v="12"/>
  </r>
  <r>
    <m/>
    <m/>
    <s v="Male"/>
    <x v="9"/>
    <s v="Yes"/>
    <n v="4"/>
    <n v="3"/>
    <n v="5"/>
    <n v="7"/>
    <n v="2"/>
    <n v="1"/>
    <n v="6"/>
    <s v="Yes"/>
    <s v="Returns"/>
    <s v="Capital Appreciation"/>
    <x v="0"/>
    <x v="2"/>
    <s v="Monthly"/>
    <x v="0"/>
    <s v="Fixed Deposits"/>
    <x v="0"/>
    <s v="Dividend"/>
    <s v="Better Returns"/>
    <s v="Safe Investment"/>
    <s v="Fixed Returns"/>
    <x v="1"/>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4DC46-EE4C-4EDB-81E3-AFC4DFE43A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6" firstHeaderRow="0" firstDataRow="1" firstDataCol="1"/>
  <pivotFields count="26">
    <pivotField showAll="0"/>
    <pivotField showAll="0"/>
    <pivotField axis="axisRow" dataField="1"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Count of gender" fld="2" subtotal="count" baseField="0" baseItem="0"/>
    <dataField name="Percentage" fld="2" subtotal="count" showDataAs="percentOfTotal" baseField="0" baseItem="0" numFmtId="10"/>
  </dataFields>
  <formats count="6">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s>
  <chartFormats count="1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1"/>
          </reference>
          <reference field="2" count="1" selected="0">
            <x v="0"/>
          </reference>
        </references>
      </pivotArea>
    </chartFormat>
    <chartFormat chart="2" format="5">
      <pivotArea type="data" outline="0" fieldPosition="0">
        <references count="2">
          <reference field="4294967294" count="1" selected="0">
            <x v="1"/>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1"/>
          </reference>
          <reference field="2" count="1" selected="0">
            <x v="0"/>
          </reference>
        </references>
      </pivotArea>
    </chartFormat>
    <chartFormat chart="8" format="11">
      <pivotArea type="data" outline="0" fieldPosition="0">
        <references count="2">
          <reference field="4294967294" count="1" selected="0">
            <x v="1"/>
          </reference>
          <reference field="2" count="1" selected="0">
            <x v="1"/>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2" count="1" selected="0">
            <x v="0"/>
          </reference>
        </references>
      </pivotArea>
    </chartFormat>
    <chartFormat chart="12" format="26">
      <pivotArea type="data" outline="0" fieldPosition="0">
        <references count="2">
          <reference field="4294967294" count="1" selected="0">
            <x v="0"/>
          </reference>
          <reference field="2" count="1" selected="0">
            <x v="1"/>
          </reference>
        </references>
      </pivotArea>
    </chartFormat>
    <chartFormat chart="12" format="27" series="1">
      <pivotArea type="data" outline="0" fieldPosition="0">
        <references count="1">
          <reference field="4294967294" count="1" selected="0">
            <x v="1"/>
          </reference>
        </references>
      </pivotArea>
    </chartFormat>
    <chartFormat chart="12" format="28">
      <pivotArea type="data" outline="0" fieldPosition="0">
        <references count="2">
          <reference field="4294967294" count="1" selected="0">
            <x v="1"/>
          </reference>
          <reference field="2" count="1" selected="0">
            <x v="0"/>
          </reference>
        </references>
      </pivotArea>
    </chartFormat>
    <chartFormat chart="12" format="29">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5F04D-EEFE-4BC1-A1DB-ACEA3CCCE2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7" firstHeaderRow="1" firstDataRow="2" firstDataCol="1"/>
  <pivotFields count="26">
    <pivotField showAll="0"/>
    <pivotField showAll="0"/>
    <pivotField showAll="0">
      <items count="3">
        <item x="0"/>
        <item x="1"/>
        <item t="default"/>
      </items>
    </pivotField>
    <pivotField axis="axisCol" dataField="1" showAll="0">
      <items count="6">
        <item x="0"/>
        <item x="1"/>
        <item x="2"/>
        <item x="3"/>
        <item x="4"/>
        <item t="default"/>
      </items>
    </pivotField>
    <pivotField axis="axisRow" showAll="0" sortType="descending">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5">
        <item x="1"/>
        <item x="3"/>
        <item x="0"/>
        <item x="2"/>
        <item t="default"/>
      </items>
    </pivotField>
  </pivotFields>
  <rowFields count="1">
    <field x="4"/>
  </rowFields>
  <rowItems count="3">
    <i>
      <x/>
    </i>
    <i>
      <x v="1"/>
    </i>
    <i t="grand">
      <x/>
    </i>
  </rowItems>
  <colFields count="1">
    <field x="3"/>
  </colFields>
  <colItems count="4">
    <i>
      <x v="1"/>
    </i>
    <i>
      <x v="2"/>
    </i>
    <i>
      <x v="3"/>
    </i>
    <i t="grand">
      <x/>
    </i>
  </colItems>
  <dataFields count="1">
    <dataField name="Count of age" fld="3" subtotal="count" baseField="4" baseItem="0"/>
  </dataFields>
  <formats count="10">
    <format dxfId="38">
      <pivotArea type="all" dataOnly="0" outline="0" fieldPosition="0"/>
    </format>
    <format dxfId="37">
      <pivotArea outline="0" collapsedLevelsAreSubtotals="1" fieldPosition="0"/>
    </format>
    <format dxfId="36">
      <pivotArea type="origin" dataOnly="0" labelOnly="1" outline="0" fieldPosition="0"/>
    </format>
    <format dxfId="35">
      <pivotArea field="3" type="button" dataOnly="0" labelOnly="1" outline="0" axis="axisCol" fieldPosition="0"/>
    </format>
    <format dxfId="34">
      <pivotArea type="topRight" dataOnly="0" labelOnly="1" outline="0" fieldPosition="0"/>
    </format>
    <format dxfId="33">
      <pivotArea field="4" type="button" dataOnly="0" labelOnly="1" outline="0" axis="axisRow" fieldPosition="0"/>
    </format>
    <format dxfId="32">
      <pivotArea dataOnly="0" labelOnly="1" fieldPosition="0">
        <references count="1">
          <reference field="4" count="0"/>
        </references>
      </pivotArea>
    </format>
    <format dxfId="31">
      <pivotArea dataOnly="0" labelOnly="1" grandRow="1" outline="0" fieldPosition="0"/>
    </format>
    <format dxfId="30">
      <pivotArea dataOnly="0" labelOnly="1" fieldPosition="0">
        <references count="1">
          <reference field="3" count="3">
            <x v="1"/>
            <x v="2"/>
            <x v="3"/>
          </reference>
        </references>
      </pivotArea>
    </format>
    <format dxfId="29">
      <pivotArea dataOnly="0" labelOnly="1" grandCol="1" outline="0" fieldPosition="0"/>
    </format>
  </formats>
  <chartFormats count="7">
    <chartFormat chart="2" format="0" series="1">
      <pivotArea type="data" outline="0" fieldPosition="0">
        <references count="2">
          <reference field="4294967294" count="1" selected="0">
            <x v="0"/>
          </reference>
          <reference field="3" count="1" selected="0">
            <x v="1"/>
          </reference>
        </references>
      </pivotArea>
    </chartFormat>
    <chartFormat chart="2" format="1" series="1">
      <pivotArea type="data" outline="0" fieldPosition="0">
        <references count="2">
          <reference field="4294967294" count="1" selected="0">
            <x v="0"/>
          </reference>
          <reference field="3" count="1" selected="0">
            <x v="2"/>
          </reference>
        </references>
      </pivotArea>
    </chartFormat>
    <chartFormat chart="2" format="2" series="1">
      <pivotArea type="data" outline="0" fieldPosition="0">
        <references count="2">
          <reference field="4294967294" count="1" selected="0">
            <x v="0"/>
          </reference>
          <reference field="3" count="1" selected="0">
            <x v="3"/>
          </reference>
        </references>
      </pivotArea>
    </chartFormat>
    <chartFormat chart="2" format="3" series="1">
      <pivotArea type="data" outline="0" fieldPosition="0">
        <references count="1">
          <reference field="4294967294" count="1" selected="0">
            <x v="0"/>
          </reference>
        </references>
      </pivotArea>
    </chartFormat>
    <chartFormat chart="7" format="13" series="1">
      <pivotArea type="data" outline="0" fieldPosition="0">
        <references count="2">
          <reference field="4294967294" count="1" selected="0">
            <x v="0"/>
          </reference>
          <reference field="3" count="1" selected="0">
            <x v="1"/>
          </reference>
        </references>
      </pivotArea>
    </chartFormat>
    <chartFormat chart="7" format="14" series="1">
      <pivotArea type="data" outline="0" fieldPosition="0">
        <references count="2">
          <reference field="4294967294" count="1" selected="0">
            <x v="0"/>
          </reference>
          <reference field="3" count="1" selected="0">
            <x v="2"/>
          </reference>
        </references>
      </pivotArea>
    </chartFormat>
    <chartFormat chart="7" format="1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720F5-9E7E-43B2-9719-3302A87357A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8" firstHeaderRow="1" firstDataRow="2" firstDataCol="1"/>
  <pivotFields count="27">
    <pivotField showAll="0"/>
    <pivotField showAll="0"/>
    <pivotField showAll="0"/>
    <pivotField axis="axisCol" dataField="1"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4">
        <item x="12"/>
        <item x="8"/>
        <item x="3"/>
        <item x="6"/>
        <item x="11"/>
        <item x="2"/>
        <item x="10"/>
        <item x="5"/>
        <item x="9"/>
        <item x="1"/>
        <item x="0"/>
        <item x="4"/>
        <item x="7"/>
        <item t="default"/>
      </items>
    </pivotField>
  </pivotFields>
  <rowFields count="1">
    <field x="26"/>
  </rowFields>
  <rowItems count="14">
    <i>
      <x/>
    </i>
    <i>
      <x v="1"/>
    </i>
    <i>
      <x v="2"/>
    </i>
    <i>
      <x v="3"/>
    </i>
    <i>
      <x v="4"/>
    </i>
    <i>
      <x v="5"/>
    </i>
    <i>
      <x v="6"/>
    </i>
    <i>
      <x v="7"/>
    </i>
    <i>
      <x v="8"/>
    </i>
    <i>
      <x v="9"/>
    </i>
    <i>
      <x v="10"/>
    </i>
    <i>
      <x v="11"/>
    </i>
    <i>
      <x v="12"/>
    </i>
    <i t="grand">
      <x/>
    </i>
  </rowItems>
  <colFields count="1">
    <field x="3"/>
  </colFields>
  <colItems count="4">
    <i>
      <x v="1"/>
    </i>
    <i>
      <x v="2"/>
    </i>
    <i>
      <x v="3"/>
    </i>
    <i t="grand">
      <x/>
    </i>
  </colItems>
  <dataFields count="1">
    <dataField name="Count of age" fld="3" subtotal="count" baseField="0" baseItem="0"/>
  </dataFields>
  <formats count="10">
    <format dxfId="28">
      <pivotArea type="all" dataOnly="0" outline="0" fieldPosition="0"/>
    </format>
    <format dxfId="27">
      <pivotArea outline="0" collapsedLevelsAreSubtotals="1" fieldPosition="0"/>
    </format>
    <format dxfId="26">
      <pivotArea type="origin" dataOnly="0" labelOnly="1" outline="0" fieldPosition="0"/>
    </format>
    <format dxfId="25">
      <pivotArea field="3" type="button" dataOnly="0" labelOnly="1" outline="0" axis="axisCol" fieldPosition="0"/>
    </format>
    <format dxfId="24">
      <pivotArea type="topRight" dataOnly="0" labelOnly="1" outline="0" fieldPosition="0"/>
    </format>
    <format dxfId="23">
      <pivotArea field="26" type="button" dataOnly="0" labelOnly="1" outline="0" axis="axisRow" fieldPosition="0"/>
    </format>
    <format dxfId="22">
      <pivotArea dataOnly="0" labelOnly="1" fieldPosition="0">
        <references count="1">
          <reference field="26" count="0"/>
        </references>
      </pivotArea>
    </format>
    <format dxfId="21">
      <pivotArea dataOnly="0" labelOnly="1" grandRow="1" outline="0" fieldPosition="0"/>
    </format>
    <format dxfId="20">
      <pivotArea dataOnly="0" labelOnly="1" fieldPosition="0">
        <references count="1">
          <reference field="3" count="3">
            <x v="1"/>
            <x v="2"/>
            <x v="3"/>
          </reference>
        </references>
      </pivotArea>
    </format>
    <format dxfId="19">
      <pivotArea dataOnly="0" labelOnly="1" grandCol="1" outline="0" fieldPosition="0"/>
    </format>
  </formats>
  <chartFormats count="6">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3"/>
          </reference>
        </references>
      </pivotArea>
    </chartFormat>
    <chartFormat chart="4" format="6" series="1">
      <pivotArea type="data" outline="0" fieldPosition="0">
        <references count="2">
          <reference field="4294967294" count="1" selected="0">
            <x v="0"/>
          </reference>
          <reference field="3" count="1" selected="0">
            <x v="1"/>
          </reference>
        </references>
      </pivotArea>
    </chartFormat>
    <chartFormat chart="4" format="7" series="1">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E798F3-7BDB-4AE9-8486-F609C6EA03D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s>
  <rowFields count="1">
    <field x="20"/>
  </rowFields>
  <rowItems count="4">
    <i>
      <x/>
    </i>
    <i>
      <x v="1"/>
    </i>
    <i>
      <x v="2"/>
    </i>
    <i t="grand">
      <x/>
    </i>
  </rowItems>
  <colItems count="1">
    <i/>
  </colItems>
  <dataFields count="1">
    <dataField name="Count of What are your savings objectives?" fld="20" subtotal="count" baseField="0" baseItem="0"/>
  </dataFields>
  <formats count="6">
    <format dxfId="6">
      <pivotArea type="all" dataOnly="0" outline="0" fieldPosition="0"/>
    </format>
    <format dxfId="5">
      <pivotArea outline="0" collapsedLevelsAreSubtotals="1" fieldPosition="0"/>
    </format>
    <format dxfId="4">
      <pivotArea field="20" type="button" dataOnly="0" labelOnly="1" outline="0" axis="axisRow" fieldPosition="0"/>
    </format>
    <format dxfId="3">
      <pivotArea dataOnly="0" labelOnly="1" fieldPosition="0">
        <references count="1">
          <reference field="20" count="0"/>
        </references>
      </pivotArea>
    </format>
    <format dxfId="2">
      <pivotArea dataOnly="0" labelOnly="1" grandRow="1" outline="0" fieldPosition="0"/>
    </format>
    <format dxfId="1">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0" count="1" selected="0">
            <x v="0"/>
          </reference>
        </references>
      </pivotArea>
    </chartFormat>
    <chartFormat chart="3" format="2">
      <pivotArea type="data" outline="0" fieldPosition="0">
        <references count="2">
          <reference field="4294967294" count="1" selected="0">
            <x v="0"/>
          </reference>
          <reference field="20" count="1" selected="0">
            <x v="1"/>
          </reference>
        </references>
      </pivotArea>
    </chartFormat>
    <chartFormat chart="3" format="3">
      <pivotArea type="data" outline="0" fieldPosition="0">
        <references count="2">
          <reference field="4294967294" count="1" selected="0">
            <x v="0"/>
          </reference>
          <reference field="20"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0" count="1" selected="0">
            <x v="0"/>
          </reference>
        </references>
      </pivotArea>
    </chartFormat>
    <chartFormat chart="9" format="15">
      <pivotArea type="data" outline="0" fieldPosition="0">
        <references count="2">
          <reference field="4294967294" count="1" selected="0">
            <x v="0"/>
          </reference>
          <reference field="20" count="1" selected="0">
            <x v="1"/>
          </reference>
        </references>
      </pivotArea>
    </chartFormat>
    <chartFormat chart="9" format="16">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941762-BA3D-4F3F-8FC1-8F94BC4AEA9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3"/>
        <item x="0"/>
        <item x="2"/>
        <item t="default"/>
      </items>
    </pivotField>
    <pivotField showAll="0"/>
  </pivotFields>
  <rowFields count="1">
    <field x="25"/>
  </rowFields>
  <rowItems count="5">
    <i>
      <x/>
    </i>
    <i>
      <x v="1"/>
    </i>
    <i>
      <x v="2"/>
    </i>
    <i>
      <x v="3"/>
    </i>
    <i t="grand">
      <x/>
    </i>
  </rowItems>
  <colItems count="1">
    <i/>
  </colItems>
  <dataFields count="1">
    <dataField name="Count of Source" fld="25" subtotal="count" baseField="0" baseItem="0"/>
  </dataFields>
  <formats count="6">
    <format dxfId="18">
      <pivotArea type="all" dataOnly="0" outline="0" fieldPosition="0"/>
    </format>
    <format dxfId="17">
      <pivotArea outline="0" collapsedLevelsAreSubtotals="1" fieldPosition="0"/>
    </format>
    <format dxfId="16">
      <pivotArea field="25" type="button" dataOnly="0" labelOnly="1" outline="0" axis="axisRow" fieldPosition="0"/>
    </format>
    <format dxfId="15">
      <pivotArea dataOnly="0" labelOnly="1" fieldPosition="0">
        <references count="1">
          <reference field="25" count="0"/>
        </references>
      </pivotArea>
    </format>
    <format dxfId="14">
      <pivotArea dataOnly="0" labelOnly="1" grandRow="1" outline="0"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60FA56-4681-4C87-8A99-739BBD16E62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27">
    <pivotField showAll="0"/>
    <pivotField showAll="0"/>
    <pivotField showAll="0"/>
    <pivotField dataField="1"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dataFields count="1">
    <dataField name="Count of age" fld="3" subtotal="count" baseField="0" baseItem="0"/>
  </dataFields>
  <formats count="6">
    <format dxfId="12">
      <pivotArea type="all" dataOnly="0" outline="0" fieldPosition="0"/>
    </format>
    <format dxfId="11">
      <pivotArea outline="0" collapsedLevelsAreSubtotals="1" fieldPosition="0"/>
    </format>
    <format dxfId="10">
      <pivotArea field="16" type="button" dataOnly="0" labelOnly="1" outline="0" axis="axisRow" fieldPosition="0"/>
    </format>
    <format dxfId="9">
      <pivotArea dataOnly="0" labelOnly="1" fieldPosition="0">
        <references count="1">
          <reference field="16" count="0"/>
        </references>
      </pivotArea>
    </format>
    <format dxfId="8">
      <pivotArea dataOnly="0" labelOnly="1" grandRow="1" outline="0" fieldPosition="0"/>
    </format>
    <format dxfId="7">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8C9EC7-CC68-4549-B418-76E39B8D50E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7">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ag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312509-007E-4FF0-96F5-B71876858D94}" sourceName="gender">
  <pivotTables>
    <pivotTable tabId="2" name="PivotTable1"/>
  </pivotTables>
  <data>
    <tabular pivotCacheId="102005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18A8EDCA-0056-4BAA-B31A-4980F280D5E7}" sourceName="Purpose">
  <pivotTables>
    <pivotTable tabId="7" name="PivotTable5"/>
  </pivotTables>
  <data>
    <tabular pivotCacheId="83013159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venues" xr10:uid="{B661C40D-A34F-49CF-9667-FFF937646424}" sourceName="Investment_Avenues">
  <pivotTables>
    <pivotTable tabId="4" name="PivotTable2"/>
  </pivotTables>
  <data>
    <tabular pivotCacheId="1020051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D324D1D2-98CC-4F6C-9707-048F03E4D17E}" sourceName="Source">
  <pivotTables>
    <pivotTable tabId="8" name="PivotTable6"/>
  </pivotTables>
  <data>
    <tabular pivotCacheId="830131596">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_Reasons" xr10:uid="{3BFE50EE-402E-4442-9FD7-6ABD7E819CB3}" sourceName="All Reasons">
  <data>
    <tabular pivotCacheId="830131596">
      <items count="13">
        <i x="7" s="1"/>
        <i x="4" s="1"/>
        <i x="0" s="1"/>
        <i x="1" s="1"/>
        <i x="9" s="1"/>
        <i x="5" s="1"/>
        <i x="10" s="1"/>
        <i x="2" s="1"/>
        <i x="11" s="1"/>
        <i x="6" s="1"/>
        <i x="3" s="1"/>
        <i x="8" s="1"/>
        <i x="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EF6E210-3C05-44D3-A6CF-627F8ADCE101}" sourceName="age">
  <pivotTables>
    <pivotTable tabId="9" name="PivotTable7"/>
  </pivotTables>
  <data>
    <tabular pivotCacheId="830131596">
      <items count="5">
        <i x="1" s="1"/>
        <i x="2" s="1"/>
        <i x="3" s="1"/>
        <i x="0" s="1" nd="1"/>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F1771BB7-869C-4723-B3AB-1EC8CFFC6903}" sourceName="Duration">
  <pivotTables>
    <pivotTable tabId="9" name="PivotTable7"/>
  </pivotTables>
  <data>
    <tabular pivotCacheId="83013159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FA515CF-AAF9-4CC9-9604-DD67CE78B186}" cache="Slicer_gender" caption="gender" columnCount="2" style="SlicerStyleDark2" rowHeight="247650"/>
  <slicer name="Purpose" xr10:uid="{11F631F8-4026-4EC3-9A0A-7358363955F2}" cache="Slicer_Purpose" caption="Purpose" style="SlicerStyleDark2" rowHeight="247650"/>
  <slicer name="Investment_Avenues" xr10:uid="{03055809-A372-4468-B4D2-4BE4B3F72A01}" cache="Slicer_Investment_Avenues" caption="Investment_Avenues" style="SlicerStyleDark2" rowHeight="247650"/>
  <slicer name="Source" xr10:uid="{11DA0D24-F8F4-426F-8DFE-F55084D98720}" cache="Slicer_Source" caption="Source" style="SlicerStyleDark2" rowHeight="247650"/>
  <slicer name="All Reasons" xr10:uid="{DBF8B851-08A6-42C4-AB65-010A2E5D0555}" cache="Slicer_All_Reasons" caption="All Reasons" style="SlicerStyleDark2" rowHeight="247650"/>
  <slicer name="age" xr10:uid="{42707A51-1766-4A9A-AE94-AEAA52352B64}" cache="Slicer_age" caption="age" style="SlicerStyleDark2" rowHeight="247650"/>
  <slicer name="Duration" xr10:uid="{C7A0A70C-651E-4157-AA98-8DF912130359}" cache="Slicer_Duration" caption="Duration" columnCount="2"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26A0-1B6F-494E-9EF3-17C02CA3AC95}">
  <dimension ref="A1:AA41"/>
  <sheetViews>
    <sheetView tabSelected="1" zoomScale="85" zoomScaleNormal="85" workbookViewId="0">
      <pane ySplit="1" topLeftCell="A2" activePane="bottomLeft" state="frozen"/>
      <selection pane="bottomLeft" activeCell="C9" sqref="C9"/>
    </sheetView>
  </sheetViews>
  <sheetFormatPr defaultRowHeight="14.4" x14ac:dyDescent="0.3"/>
  <cols>
    <col min="1" max="1" width="10.33203125" bestFit="1" customWidth="1"/>
    <col min="2" max="2" width="12.109375" bestFit="1" customWidth="1"/>
    <col min="3" max="3" width="7" bestFit="1" customWidth="1"/>
    <col min="4" max="4" width="3.88671875" bestFit="1" customWidth="1"/>
    <col min="5" max="5" width="17.5546875" bestFit="1" customWidth="1"/>
    <col min="6" max="7" width="12.109375" bestFit="1" customWidth="1"/>
    <col min="8" max="8" width="10.33203125" bestFit="1" customWidth="1"/>
    <col min="9" max="9" width="16.77734375" bestFit="1" customWidth="1"/>
    <col min="10" max="10" width="13.109375" bestFit="1" customWidth="1"/>
    <col min="11" max="11" width="4.21875" bestFit="1" customWidth="1"/>
    <col min="12" max="12" width="4.77734375" bestFit="1" customWidth="1"/>
    <col min="13" max="13" width="12.33203125" bestFit="1" customWidth="1"/>
    <col min="14" max="14" width="12.6640625" bestFit="1" customWidth="1"/>
    <col min="15" max="15" width="17.44140625" bestFit="1" customWidth="1"/>
    <col min="16" max="16" width="15.21875" bestFit="1" customWidth="1"/>
    <col min="17" max="17" width="15.109375" bestFit="1" customWidth="1"/>
    <col min="18" max="18" width="12.5546875" bestFit="1" customWidth="1"/>
    <col min="19" max="19" width="8.77734375" bestFit="1" customWidth="1"/>
    <col min="20" max="20" width="18.44140625" bestFit="1" customWidth="1"/>
    <col min="21" max="21" width="28" bestFit="1" customWidth="1"/>
    <col min="22" max="22" width="17.44140625" bestFit="1" customWidth="1"/>
    <col min="23" max="23" width="16.88671875" bestFit="1" customWidth="1"/>
    <col min="24" max="24" width="14.21875" bestFit="1" customWidth="1"/>
    <col min="25" max="25" width="16.109375" bestFit="1" customWidth="1"/>
    <col min="26" max="26" width="23.5546875" bestFit="1" customWidth="1"/>
    <col min="27" max="27" width="18.5546875" bestFit="1" customWidth="1"/>
  </cols>
  <sheetData>
    <row r="1" spans="1:27"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79</v>
      </c>
    </row>
    <row r="2" spans="1:27" x14ac:dyDescent="0.3">
      <c r="A2" s="2">
        <v>25</v>
      </c>
      <c r="B2" s="2">
        <v>15</v>
      </c>
      <c r="C2" s="2" t="s">
        <v>26</v>
      </c>
      <c r="D2" s="2">
        <v>34</v>
      </c>
      <c r="E2" s="2" t="s">
        <v>27</v>
      </c>
      <c r="F2" s="2">
        <v>1</v>
      </c>
      <c r="G2" s="2">
        <v>2</v>
      </c>
      <c r="H2" s="2">
        <v>5</v>
      </c>
      <c r="I2" s="2">
        <v>3</v>
      </c>
      <c r="J2" s="2">
        <v>7</v>
      </c>
      <c r="K2" s="2">
        <v>6</v>
      </c>
      <c r="L2" s="2">
        <v>4</v>
      </c>
      <c r="M2" s="2" t="s">
        <v>27</v>
      </c>
      <c r="N2" s="2" t="s">
        <v>28</v>
      </c>
      <c r="O2" s="2" t="s">
        <v>29</v>
      </c>
      <c r="P2" s="2" t="s">
        <v>30</v>
      </c>
      <c r="Q2" s="2" t="s">
        <v>31</v>
      </c>
      <c r="R2" s="2" t="s">
        <v>32</v>
      </c>
      <c r="S2" s="2" t="s">
        <v>33</v>
      </c>
      <c r="T2" s="2" t="s">
        <v>34</v>
      </c>
      <c r="U2" s="2" t="s">
        <v>35</v>
      </c>
      <c r="V2" s="2" t="s">
        <v>29</v>
      </c>
      <c r="W2" s="2" t="s">
        <v>36</v>
      </c>
      <c r="X2" s="2" t="s">
        <v>37</v>
      </c>
      <c r="Y2" s="2" t="s">
        <v>38</v>
      </c>
      <c r="Z2" s="2" t="s">
        <v>39</v>
      </c>
      <c r="AA2" s="2" t="s">
        <v>29</v>
      </c>
    </row>
    <row r="3" spans="1:27" x14ac:dyDescent="0.3">
      <c r="A3" s="2"/>
      <c r="B3" s="2"/>
      <c r="C3" s="2" t="s">
        <v>26</v>
      </c>
      <c r="D3" s="2">
        <v>23</v>
      </c>
      <c r="E3" s="2" t="s">
        <v>27</v>
      </c>
      <c r="F3" s="2">
        <v>4</v>
      </c>
      <c r="G3" s="2">
        <v>3</v>
      </c>
      <c r="H3" s="2">
        <v>2</v>
      </c>
      <c r="I3" s="2">
        <v>1</v>
      </c>
      <c r="J3" s="2">
        <v>5</v>
      </c>
      <c r="K3" s="2">
        <v>6</v>
      </c>
      <c r="L3" s="2">
        <v>7</v>
      </c>
      <c r="M3" s="2" t="s">
        <v>40</v>
      </c>
      <c r="N3" s="2" t="s">
        <v>41</v>
      </c>
      <c r="O3" s="2" t="s">
        <v>29</v>
      </c>
      <c r="P3" s="2" t="s">
        <v>30</v>
      </c>
      <c r="Q3" s="2" t="s">
        <v>42</v>
      </c>
      <c r="R3" s="2" t="s">
        <v>43</v>
      </c>
      <c r="S3" s="2" t="s">
        <v>33</v>
      </c>
      <c r="T3" s="2" t="s">
        <v>34</v>
      </c>
      <c r="U3" s="2" t="s">
        <v>44</v>
      </c>
      <c r="V3" s="2" t="s">
        <v>45</v>
      </c>
      <c r="W3" s="2" t="s">
        <v>36</v>
      </c>
      <c r="X3" s="2" t="s">
        <v>37</v>
      </c>
      <c r="Y3" s="2" t="s">
        <v>46</v>
      </c>
      <c r="Z3" s="2" t="s">
        <v>47</v>
      </c>
      <c r="AA3" s="2" t="s">
        <v>45</v>
      </c>
    </row>
    <row r="4" spans="1:27" x14ac:dyDescent="0.3">
      <c r="A4" s="2"/>
      <c r="B4" s="2"/>
      <c r="C4" s="2" t="s">
        <v>48</v>
      </c>
      <c r="D4" s="2">
        <v>30</v>
      </c>
      <c r="E4" s="2" t="s">
        <v>27</v>
      </c>
      <c r="F4" s="2">
        <v>3</v>
      </c>
      <c r="G4" s="2">
        <v>6</v>
      </c>
      <c r="H4" s="2">
        <v>4</v>
      </c>
      <c r="I4" s="2">
        <v>2</v>
      </c>
      <c r="J4" s="2">
        <v>5</v>
      </c>
      <c r="K4" s="2">
        <v>1</v>
      </c>
      <c r="L4" s="2">
        <v>7</v>
      </c>
      <c r="M4" s="2" t="s">
        <v>27</v>
      </c>
      <c r="N4" s="2" t="s">
        <v>28</v>
      </c>
      <c r="O4" s="2" t="s">
        <v>29</v>
      </c>
      <c r="P4" s="2" t="s">
        <v>30</v>
      </c>
      <c r="Q4" s="2" t="s">
        <v>49</v>
      </c>
      <c r="R4" s="2" t="s">
        <v>50</v>
      </c>
      <c r="S4" s="2" t="s">
        <v>33</v>
      </c>
      <c r="T4" s="2" t="s">
        <v>51</v>
      </c>
      <c r="U4" s="2" t="s">
        <v>35</v>
      </c>
      <c r="V4" s="2" t="s">
        <v>29</v>
      </c>
      <c r="W4" s="2" t="s">
        <v>52</v>
      </c>
      <c r="X4" s="2" t="s">
        <v>53</v>
      </c>
      <c r="Y4" s="2" t="s">
        <v>38</v>
      </c>
      <c r="Z4" s="2" t="s">
        <v>54</v>
      </c>
      <c r="AA4" s="2" t="s">
        <v>64</v>
      </c>
    </row>
    <row r="5" spans="1:27" x14ac:dyDescent="0.3">
      <c r="A5" s="2"/>
      <c r="B5" s="2"/>
      <c r="C5" s="2" t="s">
        <v>48</v>
      </c>
      <c r="D5" s="2">
        <v>22</v>
      </c>
      <c r="E5" s="2" t="s">
        <v>27</v>
      </c>
      <c r="F5" s="2">
        <v>2</v>
      </c>
      <c r="G5" s="2">
        <v>1</v>
      </c>
      <c r="H5" s="2">
        <v>3</v>
      </c>
      <c r="I5" s="2">
        <v>7</v>
      </c>
      <c r="J5" s="2">
        <v>6</v>
      </c>
      <c r="K5" s="2">
        <v>4</v>
      </c>
      <c r="L5" s="2">
        <v>5</v>
      </c>
      <c r="M5" s="2" t="s">
        <v>27</v>
      </c>
      <c r="N5" s="2" t="s">
        <v>28</v>
      </c>
      <c r="O5" s="2" t="s">
        <v>55</v>
      </c>
      <c r="P5" s="2" t="s">
        <v>30</v>
      </c>
      <c r="Q5" s="2" t="s">
        <v>56</v>
      </c>
      <c r="R5" s="2" t="s">
        <v>50</v>
      </c>
      <c r="S5" s="2" t="s">
        <v>57</v>
      </c>
      <c r="T5" s="2" t="s">
        <v>51</v>
      </c>
      <c r="U5" s="2" t="s">
        <v>35</v>
      </c>
      <c r="V5" s="2" t="s">
        <v>45</v>
      </c>
      <c r="W5" s="2" t="s">
        <v>58</v>
      </c>
      <c r="X5" s="2" t="s">
        <v>59</v>
      </c>
      <c r="Y5" s="2" t="s">
        <v>46</v>
      </c>
      <c r="Z5" s="2" t="s">
        <v>60</v>
      </c>
      <c r="AA5" s="2" t="s">
        <v>52</v>
      </c>
    </row>
    <row r="6" spans="1:27" x14ac:dyDescent="0.3">
      <c r="A6" s="2"/>
      <c r="B6" s="2"/>
      <c r="C6" s="2" t="s">
        <v>26</v>
      </c>
      <c r="D6" s="2">
        <v>24</v>
      </c>
      <c r="E6" s="2" t="s">
        <v>40</v>
      </c>
      <c r="F6" s="2">
        <v>2</v>
      </c>
      <c r="G6" s="2">
        <v>1</v>
      </c>
      <c r="H6" s="2">
        <v>3</v>
      </c>
      <c r="I6" s="2">
        <v>6</v>
      </c>
      <c r="J6" s="2">
        <v>4</v>
      </c>
      <c r="K6" s="2">
        <v>5</v>
      </c>
      <c r="L6" s="2">
        <v>7</v>
      </c>
      <c r="M6" s="2" t="s">
        <v>40</v>
      </c>
      <c r="N6" s="2" t="s">
        <v>28</v>
      </c>
      <c r="O6" s="2" t="s">
        <v>55</v>
      </c>
      <c r="P6" s="2" t="s">
        <v>30</v>
      </c>
      <c r="Q6" s="2" t="s">
        <v>56</v>
      </c>
      <c r="R6" s="2" t="s">
        <v>50</v>
      </c>
      <c r="S6" s="2" t="s">
        <v>33</v>
      </c>
      <c r="T6" s="2" t="s">
        <v>51</v>
      </c>
      <c r="U6" s="2" t="s">
        <v>35</v>
      </c>
      <c r="V6" s="2" t="s">
        <v>29</v>
      </c>
      <c r="W6" s="2" t="s">
        <v>36</v>
      </c>
      <c r="X6" s="2" t="s">
        <v>37</v>
      </c>
      <c r="Y6" s="2" t="s">
        <v>61</v>
      </c>
      <c r="Z6" s="2" t="s">
        <v>60</v>
      </c>
      <c r="AA6" s="2" t="s">
        <v>36</v>
      </c>
    </row>
    <row r="7" spans="1:27" x14ac:dyDescent="0.3">
      <c r="A7" s="2"/>
      <c r="B7" s="2"/>
      <c r="C7" s="2" t="s">
        <v>26</v>
      </c>
      <c r="D7" s="2">
        <v>24</v>
      </c>
      <c r="E7" s="2" t="s">
        <v>40</v>
      </c>
      <c r="F7" s="2">
        <v>7</v>
      </c>
      <c r="G7" s="2">
        <v>5</v>
      </c>
      <c r="H7" s="2">
        <v>4</v>
      </c>
      <c r="I7" s="2">
        <v>6</v>
      </c>
      <c r="J7" s="2">
        <v>3</v>
      </c>
      <c r="K7" s="2">
        <v>1</v>
      </c>
      <c r="L7" s="2">
        <v>2</v>
      </c>
      <c r="M7" s="2" t="s">
        <v>40</v>
      </c>
      <c r="N7" s="2" t="s">
        <v>62</v>
      </c>
      <c r="O7" s="2" t="s">
        <v>29</v>
      </c>
      <c r="P7" s="2" t="s">
        <v>30</v>
      </c>
      <c r="Q7" s="2" t="s">
        <v>31</v>
      </c>
      <c r="R7" s="2" t="s">
        <v>50</v>
      </c>
      <c r="S7" s="2" t="s">
        <v>63</v>
      </c>
      <c r="T7" s="2" t="s">
        <v>34</v>
      </c>
      <c r="U7" s="2" t="s">
        <v>35</v>
      </c>
      <c r="V7" s="2" t="s">
        <v>64</v>
      </c>
      <c r="W7" s="2" t="s">
        <v>58</v>
      </c>
      <c r="X7" s="2" t="s">
        <v>37</v>
      </c>
      <c r="Y7" s="2" t="s">
        <v>61</v>
      </c>
      <c r="Z7" s="2" t="s">
        <v>60</v>
      </c>
      <c r="AA7" s="2" t="s">
        <v>58</v>
      </c>
    </row>
    <row r="8" spans="1:27" x14ac:dyDescent="0.3">
      <c r="A8" s="2"/>
      <c r="B8" s="2"/>
      <c r="C8" s="2" t="s">
        <v>26</v>
      </c>
      <c r="D8" s="2">
        <v>27</v>
      </c>
      <c r="E8" s="2" t="s">
        <v>27</v>
      </c>
      <c r="F8" s="2">
        <v>3</v>
      </c>
      <c r="G8" s="2">
        <v>6</v>
      </c>
      <c r="H8" s="2">
        <v>4</v>
      </c>
      <c r="I8" s="2">
        <v>2</v>
      </c>
      <c r="J8" s="2">
        <v>5</v>
      </c>
      <c r="K8" s="2">
        <v>1</v>
      </c>
      <c r="L8" s="2">
        <v>7</v>
      </c>
      <c r="M8" s="2" t="s">
        <v>27</v>
      </c>
      <c r="N8" s="2" t="s">
        <v>28</v>
      </c>
      <c r="O8" s="2" t="s">
        <v>29</v>
      </c>
      <c r="P8" s="2" t="s">
        <v>30</v>
      </c>
      <c r="Q8" s="2" t="s">
        <v>49</v>
      </c>
      <c r="R8" s="2" t="s">
        <v>32</v>
      </c>
      <c r="S8" s="2" t="s">
        <v>33</v>
      </c>
      <c r="T8" s="2" t="s">
        <v>51</v>
      </c>
      <c r="U8" s="2" t="s">
        <v>35</v>
      </c>
      <c r="V8" s="2" t="s">
        <v>29</v>
      </c>
      <c r="W8" s="2" t="s">
        <v>36</v>
      </c>
      <c r="X8" s="2" t="s">
        <v>53</v>
      </c>
      <c r="Y8" s="2" t="s">
        <v>46</v>
      </c>
      <c r="Z8" s="2" t="s">
        <v>47</v>
      </c>
      <c r="AA8" s="2" t="s">
        <v>37</v>
      </c>
    </row>
    <row r="9" spans="1:27" x14ac:dyDescent="0.3">
      <c r="A9" s="2"/>
      <c r="B9" s="2"/>
      <c r="C9" s="2" t="s">
        <v>48</v>
      </c>
      <c r="D9" s="2">
        <v>21</v>
      </c>
      <c r="E9" s="2" t="s">
        <v>27</v>
      </c>
      <c r="F9" s="2">
        <v>2</v>
      </c>
      <c r="G9" s="2">
        <v>3</v>
      </c>
      <c r="H9" s="2">
        <v>7</v>
      </c>
      <c r="I9" s="2">
        <v>4</v>
      </c>
      <c r="J9" s="2">
        <v>6</v>
      </c>
      <c r="K9" s="2">
        <v>1</v>
      </c>
      <c r="L9" s="2">
        <v>5</v>
      </c>
      <c r="M9" s="2" t="s">
        <v>27</v>
      </c>
      <c r="N9" s="2" t="s">
        <v>62</v>
      </c>
      <c r="O9" s="2" t="s">
        <v>29</v>
      </c>
      <c r="P9" s="2" t="s">
        <v>30</v>
      </c>
      <c r="Q9" s="2" t="s">
        <v>49</v>
      </c>
      <c r="R9" s="2" t="s">
        <v>32</v>
      </c>
      <c r="S9" s="2" t="s">
        <v>33</v>
      </c>
      <c r="T9" s="2" t="s">
        <v>34</v>
      </c>
      <c r="U9" s="2" t="s">
        <v>35</v>
      </c>
      <c r="V9" s="2" t="s">
        <v>29</v>
      </c>
      <c r="W9" s="2" t="s">
        <v>36</v>
      </c>
      <c r="X9" s="2" t="s">
        <v>53</v>
      </c>
      <c r="Y9" s="2" t="s">
        <v>61</v>
      </c>
      <c r="Z9" s="2" t="s">
        <v>39</v>
      </c>
      <c r="AA9" s="2" t="s">
        <v>53</v>
      </c>
    </row>
    <row r="10" spans="1:27" x14ac:dyDescent="0.3">
      <c r="A10" s="2"/>
      <c r="B10" s="2"/>
      <c r="C10" s="2" t="s">
        <v>48</v>
      </c>
      <c r="D10" s="2">
        <v>35</v>
      </c>
      <c r="E10" s="2" t="s">
        <v>27</v>
      </c>
      <c r="F10" s="2">
        <v>2</v>
      </c>
      <c r="G10" s="2">
        <v>4</v>
      </c>
      <c r="H10" s="2">
        <v>7</v>
      </c>
      <c r="I10" s="2">
        <v>5</v>
      </c>
      <c r="J10" s="2">
        <v>3</v>
      </c>
      <c r="K10" s="2">
        <v>1</v>
      </c>
      <c r="L10" s="2">
        <v>6</v>
      </c>
      <c r="M10" s="2" t="s">
        <v>27</v>
      </c>
      <c r="N10" s="2" t="s">
        <v>28</v>
      </c>
      <c r="O10" s="2" t="s">
        <v>65</v>
      </c>
      <c r="P10" s="2" t="s">
        <v>66</v>
      </c>
      <c r="Q10" s="2" t="s">
        <v>31</v>
      </c>
      <c r="R10" s="2" t="s">
        <v>43</v>
      </c>
      <c r="S10" s="2" t="s">
        <v>33</v>
      </c>
      <c r="T10" s="2" t="s">
        <v>51</v>
      </c>
      <c r="U10" s="2" t="s">
        <v>35</v>
      </c>
      <c r="V10" s="2" t="s">
        <v>29</v>
      </c>
      <c r="W10" s="2" t="s">
        <v>58</v>
      </c>
      <c r="X10" s="2" t="s">
        <v>37</v>
      </c>
      <c r="Y10" s="2" t="s">
        <v>38</v>
      </c>
      <c r="Z10" s="2" t="s">
        <v>54</v>
      </c>
      <c r="AA10" s="2" t="s">
        <v>59</v>
      </c>
    </row>
    <row r="11" spans="1:27" x14ac:dyDescent="0.3">
      <c r="A11" s="2"/>
      <c r="B11" s="2"/>
      <c r="C11" s="2" t="s">
        <v>48</v>
      </c>
      <c r="D11" s="2">
        <v>31</v>
      </c>
      <c r="E11" s="2" t="s">
        <v>27</v>
      </c>
      <c r="F11" s="2">
        <v>1</v>
      </c>
      <c r="G11" s="2">
        <v>3</v>
      </c>
      <c r="H11" s="2">
        <v>7</v>
      </c>
      <c r="I11" s="2">
        <v>4</v>
      </c>
      <c r="J11" s="2">
        <v>5</v>
      </c>
      <c r="K11" s="2">
        <v>2</v>
      </c>
      <c r="L11" s="2">
        <v>6</v>
      </c>
      <c r="M11" s="2" t="s">
        <v>27</v>
      </c>
      <c r="N11" s="2" t="s">
        <v>28</v>
      </c>
      <c r="O11" s="2" t="s">
        <v>29</v>
      </c>
      <c r="P11" s="2" t="s">
        <v>30</v>
      </c>
      <c r="Q11" s="2" t="s">
        <v>49</v>
      </c>
      <c r="R11" s="2" t="s">
        <v>32</v>
      </c>
      <c r="S11" s="2" t="s">
        <v>63</v>
      </c>
      <c r="T11" s="2" t="s">
        <v>67</v>
      </c>
      <c r="U11" s="2" t="s">
        <v>35</v>
      </c>
      <c r="V11" s="2" t="s">
        <v>29</v>
      </c>
      <c r="W11" s="2" t="s">
        <v>58</v>
      </c>
      <c r="X11" s="2" t="s">
        <v>53</v>
      </c>
      <c r="Y11" s="2" t="s">
        <v>38</v>
      </c>
      <c r="Z11" s="2" t="s">
        <v>39</v>
      </c>
      <c r="AA11" s="2" t="s">
        <v>38</v>
      </c>
    </row>
    <row r="12" spans="1:27" x14ac:dyDescent="0.3">
      <c r="A12" s="2"/>
      <c r="B12" s="2"/>
      <c r="C12" s="2" t="s">
        <v>26</v>
      </c>
      <c r="D12" s="2">
        <v>35</v>
      </c>
      <c r="E12" s="2" t="s">
        <v>27</v>
      </c>
      <c r="F12" s="2">
        <v>2</v>
      </c>
      <c r="G12" s="2">
        <v>4</v>
      </c>
      <c r="H12" s="2">
        <v>7</v>
      </c>
      <c r="I12" s="2">
        <v>5</v>
      </c>
      <c r="J12" s="2">
        <v>3</v>
      </c>
      <c r="K12" s="2">
        <v>1</v>
      </c>
      <c r="L12" s="2">
        <v>6</v>
      </c>
      <c r="M12" s="2" t="s">
        <v>27</v>
      </c>
      <c r="N12" s="2" t="s">
        <v>62</v>
      </c>
      <c r="O12" s="2" t="s">
        <v>65</v>
      </c>
      <c r="P12" s="2" t="s">
        <v>66</v>
      </c>
      <c r="Q12" s="2" t="s">
        <v>49</v>
      </c>
      <c r="R12" s="2" t="s">
        <v>32</v>
      </c>
      <c r="S12" s="2" t="s">
        <v>33</v>
      </c>
      <c r="T12" s="2" t="s">
        <v>34</v>
      </c>
      <c r="U12" s="2" t="s">
        <v>35</v>
      </c>
      <c r="V12" s="2" t="s">
        <v>29</v>
      </c>
      <c r="W12" s="2" t="s">
        <v>36</v>
      </c>
      <c r="X12" s="2" t="s">
        <v>53</v>
      </c>
      <c r="Y12" s="2" t="s">
        <v>61</v>
      </c>
      <c r="Z12" s="2" t="s">
        <v>47</v>
      </c>
      <c r="AA12" s="2" t="s">
        <v>46</v>
      </c>
    </row>
    <row r="13" spans="1:27" x14ac:dyDescent="0.3">
      <c r="A13" s="2"/>
      <c r="B13" s="2"/>
      <c r="C13" s="2" t="s">
        <v>48</v>
      </c>
      <c r="D13" s="2">
        <v>29</v>
      </c>
      <c r="E13" s="2" t="s">
        <v>27</v>
      </c>
      <c r="F13" s="2">
        <v>2</v>
      </c>
      <c r="G13" s="2">
        <v>5</v>
      </c>
      <c r="H13" s="2">
        <v>7</v>
      </c>
      <c r="I13" s="2">
        <v>6</v>
      </c>
      <c r="J13" s="2">
        <v>3</v>
      </c>
      <c r="K13" s="2">
        <v>1</v>
      </c>
      <c r="L13" s="2">
        <v>4</v>
      </c>
      <c r="M13" s="2" t="s">
        <v>27</v>
      </c>
      <c r="N13" s="2" t="s">
        <v>62</v>
      </c>
      <c r="O13" s="2" t="s">
        <v>29</v>
      </c>
      <c r="P13" s="2" t="s">
        <v>30</v>
      </c>
      <c r="Q13" s="2" t="s">
        <v>31</v>
      </c>
      <c r="R13" s="2" t="s">
        <v>32</v>
      </c>
      <c r="S13" s="2" t="s">
        <v>33</v>
      </c>
      <c r="T13" s="2" t="s">
        <v>34</v>
      </c>
      <c r="U13" s="2" t="s">
        <v>35</v>
      </c>
      <c r="V13" s="2" t="s">
        <v>29</v>
      </c>
      <c r="W13" s="2" t="s">
        <v>58</v>
      </c>
      <c r="X13" s="2" t="s">
        <v>53</v>
      </c>
      <c r="Y13" s="2" t="s">
        <v>38</v>
      </c>
      <c r="Z13" s="2" t="s">
        <v>47</v>
      </c>
      <c r="AA13" s="2" t="s">
        <v>61</v>
      </c>
    </row>
    <row r="14" spans="1:27" x14ac:dyDescent="0.3">
      <c r="A14" s="2"/>
      <c r="B14" s="2"/>
      <c r="C14" s="2" t="s">
        <v>26</v>
      </c>
      <c r="D14" s="2">
        <v>21</v>
      </c>
      <c r="E14" s="2" t="s">
        <v>40</v>
      </c>
      <c r="F14" s="2">
        <v>1</v>
      </c>
      <c r="G14" s="2">
        <v>2</v>
      </c>
      <c r="H14" s="2">
        <v>3</v>
      </c>
      <c r="I14" s="2">
        <v>4</v>
      </c>
      <c r="J14" s="2">
        <v>5</v>
      </c>
      <c r="K14" s="2">
        <v>6</v>
      </c>
      <c r="L14" s="2">
        <v>7</v>
      </c>
      <c r="M14" s="2" t="s">
        <v>40</v>
      </c>
      <c r="N14" s="2" t="s">
        <v>28</v>
      </c>
      <c r="O14" s="2" t="s">
        <v>29</v>
      </c>
      <c r="P14" s="2" t="s">
        <v>66</v>
      </c>
      <c r="Q14" s="2" t="s">
        <v>31</v>
      </c>
      <c r="R14" s="2" t="s">
        <v>43</v>
      </c>
      <c r="S14" s="2" t="s">
        <v>33</v>
      </c>
      <c r="T14" s="2" t="s">
        <v>34</v>
      </c>
      <c r="U14" s="2" t="s">
        <v>68</v>
      </c>
      <c r="V14" s="2" t="s">
        <v>45</v>
      </c>
      <c r="W14" s="2" t="s">
        <v>36</v>
      </c>
      <c r="X14" s="2" t="s">
        <v>37</v>
      </c>
      <c r="Y14" s="2" t="s">
        <v>61</v>
      </c>
      <c r="Z14" s="2" t="s">
        <v>60</v>
      </c>
      <c r="AA14" s="2"/>
    </row>
    <row r="15" spans="1:27" x14ac:dyDescent="0.3">
      <c r="A15" s="2"/>
      <c r="B15" s="2"/>
      <c r="C15" s="2" t="s">
        <v>26</v>
      </c>
      <c r="D15" s="2">
        <v>28</v>
      </c>
      <c r="E15" s="2" t="s">
        <v>27</v>
      </c>
      <c r="F15" s="2">
        <v>2</v>
      </c>
      <c r="G15" s="2">
        <v>3</v>
      </c>
      <c r="H15" s="2">
        <v>7</v>
      </c>
      <c r="I15" s="2">
        <v>4</v>
      </c>
      <c r="J15" s="2">
        <v>5</v>
      </c>
      <c r="K15" s="2">
        <v>1</v>
      </c>
      <c r="L15" s="2">
        <v>6</v>
      </c>
      <c r="M15" s="2" t="s">
        <v>27</v>
      </c>
      <c r="N15" s="2" t="s">
        <v>28</v>
      </c>
      <c r="O15" s="2" t="s">
        <v>29</v>
      </c>
      <c r="P15" s="2" t="s">
        <v>30</v>
      </c>
      <c r="Q15" s="2" t="s">
        <v>31</v>
      </c>
      <c r="R15" s="2" t="s">
        <v>32</v>
      </c>
      <c r="S15" s="2" t="s">
        <v>33</v>
      </c>
      <c r="T15" s="2" t="s">
        <v>34</v>
      </c>
      <c r="U15" s="2" t="s">
        <v>35</v>
      </c>
      <c r="V15" s="2" t="s">
        <v>29</v>
      </c>
      <c r="W15" s="2" t="s">
        <v>58</v>
      </c>
      <c r="X15" s="2" t="s">
        <v>53</v>
      </c>
      <c r="Y15" s="2" t="s">
        <v>61</v>
      </c>
      <c r="Z15" s="2" t="s">
        <v>39</v>
      </c>
      <c r="AA15" s="2"/>
    </row>
    <row r="16" spans="1:27" x14ac:dyDescent="0.3">
      <c r="A16" s="2"/>
      <c r="B16" s="2"/>
      <c r="C16" s="2" t="s">
        <v>26</v>
      </c>
      <c r="D16" s="2">
        <v>25</v>
      </c>
      <c r="E16" s="2" t="s">
        <v>27</v>
      </c>
      <c r="F16" s="2">
        <v>2</v>
      </c>
      <c r="G16" s="2">
        <v>3</v>
      </c>
      <c r="H16" s="2">
        <v>7</v>
      </c>
      <c r="I16" s="2">
        <v>5</v>
      </c>
      <c r="J16" s="2">
        <v>4</v>
      </c>
      <c r="K16" s="2">
        <v>1</v>
      </c>
      <c r="L16" s="2">
        <v>6</v>
      </c>
      <c r="M16" s="2" t="s">
        <v>27</v>
      </c>
      <c r="N16" s="2" t="s">
        <v>28</v>
      </c>
      <c r="O16" s="2" t="s">
        <v>29</v>
      </c>
      <c r="P16" s="2" t="s">
        <v>30</v>
      </c>
      <c r="Q16" s="2" t="s">
        <v>31</v>
      </c>
      <c r="R16" s="2" t="s">
        <v>32</v>
      </c>
      <c r="S16" s="2" t="s">
        <v>33</v>
      </c>
      <c r="T16" s="2" t="s">
        <v>67</v>
      </c>
      <c r="U16" s="2" t="s">
        <v>44</v>
      </c>
      <c r="V16" s="2" t="s">
        <v>45</v>
      </c>
      <c r="W16" s="2" t="s">
        <v>36</v>
      </c>
      <c r="X16" s="2" t="s">
        <v>53</v>
      </c>
      <c r="Y16" s="2" t="s">
        <v>61</v>
      </c>
      <c r="Z16" s="2" t="s">
        <v>47</v>
      </c>
      <c r="AA16" s="2"/>
    </row>
    <row r="17" spans="1:27" x14ac:dyDescent="0.3">
      <c r="A17" s="2"/>
      <c r="B17" s="2"/>
      <c r="C17" s="2" t="s">
        <v>48</v>
      </c>
      <c r="D17" s="2">
        <v>27</v>
      </c>
      <c r="E17" s="2" t="s">
        <v>27</v>
      </c>
      <c r="F17" s="2">
        <v>2</v>
      </c>
      <c r="G17" s="2">
        <v>3</v>
      </c>
      <c r="H17" s="2">
        <v>7</v>
      </c>
      <c r="I17" s="2">
        <v>5</v>
      </c>
      <c r="J17" s="2">
        <v>4</v>
      </c>
      <c r="K17" s="2">
        <v>1</v>
      </c>
      <c r="L17" s="2">
        <v>6</v>
      </c>
      <c r="M17" s="2" t="s">
        <v>27</v>
      </c>
      <c r="N17" s="2" t="s">
        <v>28</v>
      </c>
      <c r="O17" s="2" t="s">
        <v>29</v>
      </c>
      <c r="P17" s="2" t="s">
        <v>30</v>
      </c>
      <c r="Q17" s="2" t="s">
        <v>31</v>
      </c>
      <c r="R17" s="2" t="s">
        <v>32</v>
      </c>
      <c r="S17" s="2" t="s">
        <v>33</v>
      </c>
      <c r="T17" s="2" t="s">
        <v>34</v>
      </c>
      <c r="U17" s="2" t="s">
        <v>44</v>
      </c>
      <c r="V17" s="2" t="s">
        <v>29</v>
      </c>
      <c r="W17" s="2" t="s">
        <v>58</v>
      </c>
      <c r="X17" s="2" t="s">
        <v>53</v>
      </c>
      <c r="Y17" s="2" t="s">
        <v>61</v>
      </c>
      <c r="Z17" s="2" t="s">
        <v>39</v>
      </c>
      <c r="AA17" s="2"/>
    </row>
    <row r="18" spans="1:27" x14ac:dyDescent="0.3">
      <c r="A18" s="2"/>
      <c r="B18" s="2"/>
      <c r="C18" s="2" t="s">
        <v>26</v>
      </c>
      <c r="D18" s="2">
        <v>28</v>
      </c>
      <c r="E18" s="2" t="s">
        <v>27</v>
      </c>
      <c r="F18" s="2">
        <v>3</v>
      </c>
      <c r="G18" s="2">
        <v>2</v>
      </c>
      <c r="H18" s="2">
        <v>7</v>
      </c>
      <c r="I18" s="2">
        <v>5</v>
      </c>
      <c r="J18" s="2">
        <v>4</v>
      </c>
      <c r="K18" s="2">
        <v>1</v>
      </c>
      <c r="L18" s="2">
        <v>6</v>
      </c>
      <c r="M18" s="2" t="s">
        <v>27</v>
      </c>
      <c r="N18" s="2" t="s">
        <v>62</v>
      </c>
      <c r="O18" s="2" t="s">
        <v>65</v>
      </c>
      <c r="P18" s="2" t="s">
        <v>30</v>
      </c>
      <c r="Q18" s="2" t="s">
        <v>31</v>
      </c>
      <c r="R18" s="2" t="s">
        <v>32</v>
      </c>
      <c r="S18" s="2" t="s">
        <v>33</v>
      </c>
      <c r="T18" s="2" t="s">
        <v>67</v>
      </c>
      <c r="U18" s="2" t="s">
        <v>44</v>
      </c>
      <c r="V18" s="2" t="s">
        <v>29</v>
      </c>
      <c r="W18" s="2" t="s">
        <v>58</v>
      </c>
      <c r="X18" s="2" t="s">
        <v>53</v>
      </c>
      <c r="Y18" s="2" t="s">
        <v>61</v>
      </c>
      <c r="Z18" s="2" t="s">
        <v>54</v>
      </c>
      <c r="AA18" s="2"/>
    </row>
    <row r="19" spans="1:27" x14ac:dyDescent="0.3">
      <c r="A19" s="2"/>
      <c r="B19" s="2"/>
      <c r="C19" s="2" t="s">
        <v>48</v>
      </c>
      <c r="D19" s="2">
        <v>27</v>
      </c>
      <c r="E19" s="2" t="s">
        <v>27</v>
      </c>
      <c r="F19" s="2">
        <v>3</v>
      </c>
      <c r="G19" s="2">
        <v>2</v>
      </c>
      <c r="H19" s="2">
        <v>7</v>
      </c>
      <c r="I19" s="2">
        <v>4</v>
      </c>
      <c r="J19" s="2">
        <v>5</v>
      </c>
      <c r="K19" s="2">
        <v>1</v>
      </c>
      <c r="L19" s="2">
        <v>6</v>
      </c>
      <c r="M19" s="2" t="s">
        <v>27</v>
      </c>
      <c r="N19" s="2" t="s">
        <v>28</v>
      </c>
      <c r="O19" s="2" t="s">
        <v>29</v>
      </c>
      <c r="P19" s="2" t="s">
        <v>30</v>
      </c>
      <c r="Q19" s="2" t="s">
        <v>31</v>
      </c>
      <c r="R19" s="2" t="s">
        <v>32</v>
      </c>
      <c r="S19" s="2" t="s">
        <v>33</v>
      </c>
      <c r="T19" s="2" t="s">
        <v>34</v>
      </c>
      <c r="U19" s="2" t="s">
        <v>35</v>
      </c>
      <c r="V19" s="2" t="s">
        <v>29</v>
      </c>
      <c r="W19" s="2" t="s">
        <v>36</v>
      </c>
      <c r="X19" s="2" t="s">
        <v>53</v>
      </c>
      <c r="Y19" s="2" t="s">
        <v>61</v>
      </c>
      <c r="Z19" s="2" t="s">
        <v>47</v>
      </c>
      <c r="AA19" s="2"/>
    </row>
    <row r="20" spans="1:27" x14ac:dyDescent="0.3">
      <c r="A20" s="2"/>
      <c r="B20" s="2"/>
      <c r="C20" s="2" t="s">
        <v>48</v>
      </c>
      <c r="D20" s="2">
        <v>29</v>
      </c>
      <c r="E20" s="2" t="s">
        <v>27</v>
      </c>
      <c r="F20" s="2">
        <v>3</v>
      </c>
      <c r="G20" s="2">
        <v>2</v>
      </c>
      <c r="H20" s="2">
        <v>7</v>
      </c>
      <c r="I20" s="2">
        <v>4</v>
      </c>
      <c r="J20" s="2">
        <v>5</v>
      </c>
      <c r="K20" s="2">
        <v>1</v>
      </c>
      <c r="L20" s="2">
        <v>6</v>
      </c>
      <c r="M20" s="2" t="s">
        <v>27</v>
      </c>
      <c r="N20" s="2" t="s">
        <v>62</v>
      </c>
      <c r="O20" s="2" t="s">
        <v>29</v>
      </c>
      <c r="P20" s="2" t="s">
        <v>30</v>
      </c>
      <c r="Q20" s="2" t="s">
        <v>31</v>
      </c>
      <c r="R20" s="2" t="s">
        <v>32</v>
      </c>
      <c r="S20" s="2" t="s">
        <v>33</v>
      </c>
      <c r="T20" s="2" t="s">
        <v>34</v>
      </c>
      <c r="U20" s="2" t="s">
        <v>35</v>
      </c>
      <c r="V20" s="2" t="s">
        <v>29</v>
      </c>
      <c r="W20" s="2" t="s">
        <v>36</v>
      </c>
      <c r="X20" s="2" t="s">
        <v>53</v>
      </c>
      <c r="Y20" s="2" t="s">
        <v>61</v>
      </c>
      <c r="Z20" s="2" t="s">
        <v>39</v>
      </c>
      <c r="AA20" s="2"/>
    </row>
    <row r="21" spans="1:27" x14ac:dyDescent="0.3">
      <c r="A21" s="2"/>
      <c r="B21" s="2"/>
      <c r="C21" s="2" t="s">
        <v>48</v>
      </c>
      <c r="D21" s="2">
        <v>26</v>
      </c>
      <c r="E21" s="2" t="s">
        <v>27</v>
      </c>
      <c r="F21" s="2">
        <v>3</v>
      </c>
      <c r="G21" s="2">
        <v>4</v>
      </c>
      <c r="H21" s="2">
        <v>6</v>
      </c>
      <c r="I21" s="2">
        <v>5</v>
      </c>
      <c r="J21" s="2">
        <v>1</v>
      </c>
      <c r="K21" s="2">
        <v>2</v>
      </c>
      <c r="L21" s="2">
        <v>7</v>
      </c>
      <c r="M21" s="2" t="s">
        <v>27</v>
      </c>
      <c r="N21" s="2" t="s">
        <v>62</v>
      </c>
      <c r="O21" s="2" t="s">
        <v>29</v>
      </c>
      <c r="P21" s="2" t="s">
        <v>30</v>
      </c>
      <c r="Q21" s="2" t="s">
        <v>49</v>
      </c>
      <c r="R21" s="2" t="s">
        <v>32</v>
      </c>
      <c r="S21" s="2" t="s">
        <v>33</v>
      </c>
      <c r="T21" s="2" t="s">
        <v>67</v>
      </c>
      <c r="U21" s="2" t="s">
        <v>44</v>
      </c>
      <c r="V21" s="2" t="s">
        <v>29</v>
      </c>
      <c r="W21" s="2" t="s">
        <v>58</v>
      </c>
      <c r="X21" s="2" t="s">
        <v>53</v>
      </c>
      <c r="Y21" s="2" t="s">
        <v>61</v>
      </c>
      <c r="Z21" s="2" t="s">
        <v>39</v>
      </c>
      <c r="AA21" s="2"/>
    </row>
    <row r="22" spans="1:27" x14ac:dyDescent="0.3">
      <c r="A22" s="2"/>
      <c r="B22" s="2"/>
      <c r="C22" s="2" t="s">
        <v>48</v>
      </c>
      <c r="D22" s="2">
        <v>29</v>
      </c>
      <c r="E22" s="2" t="s">
        <v>27</v>
      </c>
      <c r="F22" s="2">
        <v>2</v>
      </c>
      <c r="G22" s="2">
        <v>4</v>
      </c>
      <c r="H22" s="2">
        <v>7</v>
      </c>
      <c r="I22" s="2">
        <v>5</v>
      </c>
      <c r="J22" s="2">
        <v>3</v>
      </c>
      <c r="K22" s="2">
        <v>1</v>
      </c>
      <c r="L22" s="2">
        <v>6</v>
      </c>
      <c r="M22" s="2" t="s">
        <v>27</v>
      </c>
      <c r="N22" s="2" t="s">
        <v>28</v>
      </c>
      <c r="O22" s="2" t="s">
        <v>65</v>
      </c>
      <c r="P22" s="2" t="s">
        <v>30</v>
      </c>
      <c r="Q22" s="2" t="s">
        <v>49</v>
      </c>
      <c r="R22" s="2" t="s">
        <v>43</v>
      </c>
      <c r="S22" s="2" t="s">
        <v>33</v>
      </c>
      <c r="T22" s="2" t="s">
        <v>34</v>
      </c>
      <c r="U22" s="2" t="s">
        <v>35</v>
      </c>
      <c r="V22" s="2" t="s">
        <v>29</v>
      </c>
      <c r="W22" s="2" t="s">
        <v>36</v>
      </c>
      <c r="X22" s="2" t="s">
        <v>53</v>
      </c>
      <c r="Y22" s="2" t="s">
        <v>38</v>
      </c>
      <c r="Z22" s="2" t="s">
        <v>47</v>
      </c>
      <c r="AA22" s="2"/>
    </row>
    <row r="23" spans="1:27" x14ac:dyDescent="0.3">
      <c r="A23" s="2"/>
      <c r="B23" s="2"/>
      <c r="C23" s="2" t="s">
        <v>26</v>
      </c>
      <c r="D23" s="2">
        <v>24</v>
      </c>
      <c r="E23" s="2" t="s">
        <v>27</v>
      </c>
      <c r="F23" s="2">
        <v>2</v>
      </c>
      <c r="G23" s="2">
        <v>4</v>
      </c>
      <c r="H23" s="2">
        <v>5</v>
      </c>
      <c r="I23" s="2">
        <v>6</v>
      </c>
      <c r="J23" s="2">
        <v>3</v>
      </c>
      <c r="K23" s="2">
        <v>1</v>
      </c>
      <c r="L23" s="2">
        <v>7</v>
      </c>
      <c r="M23" s="2" t="s">
        <v>27</v>
      </c>
      <c r="N23" s="2" t="s">
        <v>62</v>
      </c>
      <c r="O23" s="2" t="s">
        <v>29</v>
      </c>
      <c r="P23" s="2" t="s">
        <v>30</v>
      </c>
      <c r="Q23" s="2" t="s">
        <v>49</v>
      </c>
      <c r="R23" s="2" t="s">
        <v>32</v>
      </c>
      <c r="S23" s="2" t="s">
        <v>33</v>
      </c>
      <c r="T23" s="2" t="s">
        <v>51</v>
      </c>
      <c r="U23" s="2" t="s">
        <v>44</v>
      </c>
      <c r="V23" s="2" t="s">
        <v>29</v>
      </c>
      <c r="W23" s="2" t="s">
        <v>36</v>
      </c>
      <c r="X23" s="2" t="s">
        <v>53</v>
      </c>
      <c r="Y23" s="2" t="s">
        <v>61</v>
      </c>
      <c r="Z23" s="2" t="s">
        <v>39</v>
      </c>
      <c r="AA23" s="2"/>
    </row>
    <row r="24" spans="1:27" x14ac:dyDescent="0.3">
      <c r="A24" s="2"/>
      <c r="B24" s="2"/>
      <c r="C24" s="2" t="s">
        <v>48</v>
      </c>
      <c r="D24" s="2">
        <v>27</v>
      </c>
      <c r="E24" s="2" t="s">
        <v>27</v>
      </c>
      <c r="F24" s="2">
        <v>3</v>
      </c>
      <c r="G24" s="2">
        <v>4</v>
      </c>
      <c r="H24" s="2">
        <v>6</v>
      </c>
      <c r="I24" s="2">
        <v>5</v>
      </c>
      <c r="J24" s="2">
        <v>2</v>
      </c>
      <c r="K24" s="2">
        <v>1</v>
      </c>
      <c r="L24" s="2">
        <v>7</v>
      </c>
      <c r="M24" s="2" t="s">
        <v>27</v>
      </c>
      <c r="N24" s="2" t="s">
        <v>28</v>
      </c>
      <c r="O24" s="2" t="s">
        <v>29</v>
      </c>
      <c r="P24" s="2" t="s">
        <v>30</v>
      </c>
      <c r="Q24" s="2" t="s">
        <v>49</v>
      </c>
      <c r="R24" s="2" t="s">
        <v>32</v>
      </c>
      <c r="S24" s="2" t="s">
        <v>33</v>
      </c>
      <c r="T24" s="2" t="s">
        <v>34</v>
      </c>
      <c r="U24" s="2" t="s">
        <v>35</v>
      </c>
      <c r="V24" s="2" t="s">
        <v>29</v>
      </c>
      <c r="W24" s="2" t="s">
        <v>36</v>
      </c>
      <c r="X24" s="2" t="s">
        <v>53</v>
      </c>
      <c r="Y24" s="2" t="s">
        <v>61</v>
      </c>
      <c r="Z24" s="2" t="s">
        <v>47</v>
      </c>
      <c r="AA24" s="2"/>
    </row>
    <row r="25" spans="1:27" x14ac:dyDescent="0.3">
      <c r="A25" s="2"/>
      <c r="B25" s="2"/>
      <c r="C25" s="2" t="s">
        <v>48</v>
      </c>
      <c r="D25" s="2">
        <v>25</v>
      </c>
      <c r="E25" s="2" t="s">
        <v>27</v>
      </c>
      <c r="F25" s="2">
        <v>2</v>
      </c>
      <c r="G25" s="2">
        <v>4</v>
      </c>
      <c r="H25" s="2">
        <v>6</v>
      </c>
      <c r="I25" s="2">
        <v>5</v>
      </c>
      <c r="J25" s="2">
        <v>3</v>
      </c>
      <c r="K25" s="2">
        <v>1</v>
      </c>
      <c r="L25" s="2">
        <v>7</v>
      </c>
      <c r="M25" s="2" t="s">
        <v>27</v>
      </c>
      <c r="N25" s="2" t="s">
        <v>62</v>
      </c>
      <c r="O25" s="2" t="s">
        <v>65</v>
      </c>
      <c r="P25" s="2" t="s">
        <v>66</v>
      </c>
      <c r="Q25" s="2" t="s">
        <v>49</v>
      </c>
      <c r="R25" s="2" t="s">
        <v>43</v>
      </c>
      <c r="S25" s="2" t="s">
        <v>33</v>
      </c>
      <c r="T25" s="2" t="s">
        <v>69</v>
      </c>
      <c r="U25" s="2" t="s">
        <v>44</v>
      </c>
      <c r="V25" s="2" t="s">
        <v>64</v>
      </c>
      <c r="W25" s="2" t="s">
        <v>36</v>
      </c>
      <c r="X25" s="2" t="s">
        <v>53</v>
      </c>
      <c r="Y25" s="2" t="s">
        <v>61</v>
      </c>
      <c r="Z25" s="2" t="s">
        <v>47</v>
      </c>
      <c r="AA25" s="2"/>
    </row>
    <row r="26" spans="1:27" x14ac:dyDescent="0.3">
      <c r="A26" s="2"/>
      <c r="B26" s="2"/>
      <c r="C26" s="2" t="s">
        <v>26</v>
      </c>
      <c r="D26" s="2">
        <v>26</v>
      </c>
      <c r="E26" s="2" t="s">
        <v>27</v>
      </c>
      <c r="F26" s="2">
        <v>2</v>
      </c>
      <c r="G26" s="2">
        <v>3</v>
      </c>
      <c r="H26" s="2">
        <v>7</v>
      </c>
      <c r="I26" s="2">
        <v>5</v>
      </c>
      <c r="J26" s="2">
        <v>4</v>
      </c>
      <c r="K26" s="2">
        <v>1</v>
      </c>
      <c r="L26" s="2">
        <v>6</v>
      </c>
      <c r="M26" s="2" t="s">
        <v>27</v>
      </c>
      <c r="N26" s="2" t="s">
        <v>28</v>
      </c>
      <c r="O26" s="2" t="s">
        <v>29</v>
      </c>
      <c r="P26" s="2" t="s">
        <v>30</v>
      </c>
      <c r="Q26" s="2" t="s">
        <v>49</v>
      </c>
      <c r="R26" s="2" t="s">
        <v>32</v>
      </c>
      <c r="S26" s="2" t="s">
        <v>63</v>
      </c>
      <c r="T26" s="2" t="s">
        <v>69</v>
      </c>
      <c r="U26" s="2" t="s">
        <v>35</v>
      </c>
      <c r="V26" s="2" t="s">
        <v>29</v>
      </c>
      <c r="W26" s="2" t="s">
        <v>36</v>
      </c>
      <c r="X26" s="2" t="s">
        <v>53</v>
      </c>
      <c r="Y26" s="2" t="s">
        <v>61</v>
      </c>
      <c r="Z26" s="2" t="s">
        <v>39</v>
      </c>
      <c r="AA26" s="2"/>
    </row>
    <row r="27" spans="1:27" x14ac:dyDescent="0.3">
      <c r="A27" s="2"/>
      <c r="B27" s="2"/>
      <c r="C27" s="2" t="s">
        <v>26</v>
      </c>
      <c r="D27" s="2">
        <v>32</v>
      </c>
      <c r="E27" s="2" t="s">
        <v>27</v>
      </c>
      <c r="F27" s="2">
        <v>3</v>
      </c>
      <c r="G27" s="2">
        <v>4</v>
      </c>
      <c r="H27" s="2">
        <v>7</v>
      </c>
      <c r="I27" s="2">
        <v>5</v>
      </c>
      <c r="J27" s="2">
        <v>1</v>
      </c>
      <c r="K27" s="2">
        <v>2</v>
      </c>
      <c r="L27" s="2">
        <v>6</v>
      </c>
      <c r="M27" s="2" t="s">
        <v>27</v>
      </c>
      <c r="N27" s="2" t="s">
        <v>62</v>
      </c>
      <c r="O27" s="2" t="s">
        <v>65</v>
      </c>
      <c r="P27" s="2" t="s">
        <v>30</v>
      </c>
      <c r="Q27" s="2" t="s">
        <v>49</v>
      </c>
      <c r="R27" s="2" t="s">
        <v>32</v>
      </c>
      <c r="S27" s="2" t="s">
        <v>33</v>
      </c>
      <c r="T27" s="2" t="s">
        <v>34</v>
      </c>
      <c r="U27" s="2" t="s">
        <v>35</v>
      </c>
      <c r="V27" s="2" t="s">
        <v>29</v>
      </c>
      <c r="W27" s="2" t="s">
        <v>36</v>
      </c>
      <c r="X27" s="2" t="s">
        <v>53</v>
      </c>
      <c r="Y27" s="2" t="s">
        <v>38</v>
      </c>
      <c r="Z27" s="2" t="s">
        <v>47</v>
      </c>
      <c r="AA27" s="2"/>
    </row>
    <row r="28" spans="1:27" x14ac:dyDescent="0.3">
      <c r="A28" s="2"/>
      <c r="B28" s="2"/>
      <c r="C28" s="2" t="s">
        <v>48</v>
      </c>
      <c r="D28" s="2">
        <v>26</v>
      </c>
      <c r="E28" s="2" t="s">
        <v>27</v>
      </c>
      <c r="F28" s="2">
        <v>3</v>
      </c>
      <c r="G28" s="2">
        <v>4</v>
      </c>
      <c r="H28" s="2">
        <v>6</v>
      </c>
      <c r="I28" s="2">
        <v>5</v>
      </c>
      <c r="J28" s="2">
        <v>1</v>
      </c>
      <c r="K28" s="2">
        <v>2</v>
      </c>
      <c r="L28" s="2">
        <v>7</v>
      </c>
      <c r="M28" s="2" t="s">
        <v>27</v>
      </c>
      <c r="N28" s="2" t="s">
        <v>28</v>
      </c>
      <c r="O28" s="2" t="s">
        <v>29</v>
      </c>
      <c r="P28" s="2" t="s">
        <v>30</v>
      </c>
      <c r="Q28" s="2" t="s">
        <v>49</v>
      </c>
      <c r="R28" s="2" t="s">
        <v>32</v>
      </c>
      <c r="S28" s="2" t="s">
        <v>33</v>
      </c>
      <c r="T28" s="2" t="s">
        <v>34</v>
      </c>
      <c r="U28" s="2" t="s">
        <v>35</v>
      </c>
      <c r="V28" s="2" t="s">
        <v>45</v>
      </c>
      <c r="W28" s="2" t="s">
        <v>58</v>
      </c>
      <c r="X28" s="2" t="s">
        <v>53</v>
      </c>
      <c r="Y28" s="2" t="s">
        <v>38</v>
      </c>
      <c r="Z28" s="2" t="s">
        <v>47</v>
      </c>
      <c r="AA28" s="2"/>
    </row>
    <row r="29" spans="1:27" x14ac:dyDescent="0.3">
      <c r="A29" s="2"/>
      <c r="B29" s="2"/>
      <c r="C29" s="2" t="s">
        <v>48</v>
      </c>
      <c r="D29" s="2">
        <v>31</v>
      </c>
      <c r="E29" s="2" t="s">
        <v>27</v>
      </c>
      <c r="F29" s="2">
        <v>2</v>
      </c>
      <c r="G29" s="2">
        <v>3</v>
      </c>
      <c r="H29" s="2">
        <v>7</v>
      </c>
      <c r="I29" s="2">
        <v>6</v>
      </c>
      <c r="J29" s="2">
        <v>4</v>
      </c>
      <c r="K29" s="2">
        <v>1</v>
      </c>
      <c r="L29" s="2">
        <v>5</v>
      </c>
      <c r="M29" s="2" t="s">
        <v>27</v>
      </c>
      <c r="N29" s="2" t="s">
        <v>62</v>
      </c>
      <c r="O29" s="2" t="s">
        <v>65</v>
      </c>
      <c r="P29" s="2" t="s">
        <v>66</v>
      </c>
      <c r="Q29" s="2" t="s">
        <v>31</v>
      </c>
      <c r="R29" s="2" t="s">
        <v>32</v>
      </c>
      <c r="S29" s="2" t="s">
        <v>33</v>
      </c>
      <c r="T29" s="2" t="s">
        <v>67</v>
      </c>
      <c r="U29" s="2" t="s">
        <v>44</v>
      </c>
      <c r="V29" s="2" t="s">
        <v>29</v>
      </c>
      <c r="W29" s="2" t="s">
        <v>58</v>
      </c>
      <c r="X29" s="2" t="s">
        <v>37</v>
      </c>
      <c r="Y29" s="2" t="s">
        <v>38</v>
      </c>
      <c r="Z29" s="2" t="s">
        <v>54</v>
      </c>
      <c r="AA29" s="2"/>
    </row>
    <row r="30" spans="1:27" x14ac:dyDescent="0.3">
      <c r="A30" s="2"/>
      <c r="B30" s="2"/>
      <c r="C30" s="2" t="s">
        <v>48</v>
      </c>
      <c r="D30" s="2">
        <v>29</v>
      </c>
      <c r="E30" s="2" t="s">
        <v>27</v>
      </c>
      <c r="F30" s="2">
        <v>2</v>
      </c>
      <c r="G30" s="2">
        <v>3</v>
      </c>
      <c r="H30" s="2">
        <v>6</v>
      </c>
      <c r="I30" s="2">
        <v>5</v>
      </c>
      <c r="J30" s="2">
        <v>1</v>
      </c>
      <c r="K30" s="2">
        <v>4</v>
      </c>
      <c r="L30" s="2">
        <v>7</v>
      </c>
      <c r="M30" s="2" t="s">
        <v>27</v>
      </c>
      <c r="N30" s="2" t="s">
        <v>28</v>
      </c>
      <c r="O30" s="2" t="s">
        <v>29</v>
      </c>
      <c r="P30" s="2" t="s">
        <v>30</v>
      </c>
      <c r="Q30" s="2" t="s">
        <v>31</v>
      </c>
      <c r="R30" s="2" t="s">
        <v>32</v>
      </c>
      <c r="S30" s="2" t="s">
        <v>33</v>
      </c>
      <c r="T30" s="2" t="s">
        <v>51</v>
      </c>
      <c r="U30" s="2" t="s">
        <v>35</v>
      </c>
      <c r="V30" s="2" t="s">
        <v>29</v>
      </c>
      <c r="W30" s="2" t="s">
        <v>36</v>
      </c>
      <c r="X30" s="2" t="s">
        <v>53</v>
      </c>
      <c r="Y30" s="2" t="s">
        <v>61</v>
      </c>
      <c r="Z30" s="2" t="s">
        <v>54</v>
      </c>
      <c r="AA30" s="2"/>
    </row>
    <row r="31" spans="1:27" x14ac:dyDescent="0.3">
      <c r="A31" s="2"/>
      <c r="B31" s="2"/>
      <c r="C31" s="2" t="s">
        <v>26</v>
      </c>
      <c r="D31" s="2">
        <v>34</v>
      </c>
      <c r="E31" s="2" t="s">
        <v>27</v>
      </c>
      <c r="F31" s="2">
        <v>5</v>
      </c>
      <c r="G31" s="2">
        <v>4</v>
      </c>
      <c r="H31" s="2">
        <v>3</v>
      </c>
      <c r="I31" s="2">
        <v>2</v>
      </c>
      <c r="J31" s="2">
        <v>7</v>
      </c>
      <c r="K31" s="2">
        <v>1</v>
      </c>
      <c r="L31" s="2">
        <v>6</v>
      </c>
      <c r="M31" s="2" t="s">
        <v>27</v>
      </c>
      <c r="N31" s="2" t="s">
        <v>28</v>
      </c>
      <c r="O31" s="2" t="s">
        <v>55</v>
      </c>
      <c r="P31" s="2" t="s">
        <v>28</v>
      </c>
      <c r="Q31" s="2" t="s">
        <v>49</v>
      </c>
      <c r="R31" s="2" t="s">
        <v>32</v>
      </c>
      <c r="S31" s="2" t="s">
        <v>57</v>
      </c>
      <c r="T31" s="2" t="s">
        <v>34</v>
      </c>
      <c r="U31" s="2" t="s">
        <v>35</v>
      </c>
      <c r="V31" s="2" t="s">
        <v>29</v>
      </c>
      <c r="W31" s="2" t="s">
        <v>52</v>
      </c>
      <c r="X31" s="2" t="s">
        <v>37</v>
      </c>
      <c r="Y31" s="2" t="s">
        <v>38</v>
      </c>
      <c r="Z31" s="2" t="s">
        <v>39</v>
      </c>
      <c r="AA31" s="2"/>
    </row>
    <row r="32" spans="1:27" x14ac:dyDescent="0.3">
      <c r="A32" s="2"/>
      <c r="B32" s="2"/>
      <c r="C32" s="2" t="s">
        <v>48</v>
      </c>
      <c r="D32" s="2">
        <v>27</v>
      </c>
      <c r="E32" s="2" t="s">
        <v>27</v>
      </c>
      <c r="F32" s="2">
        <v>4</v>
      </c>
      <c r="G32" s="2">
        <v>5</v>
      </c>
      <c r="H32" s="2">
        <v>1</v>
      </c>
      <c r="I32" s="2">
        <v>2</v>
      </c>
      <c r="J32" s="2">
        <v>7</v>
      </c>
      <c r="K32" s="2">
        <v>3</v>
      </c>
      <c r="L32" s="2">
        <v>6</v>
      </c>
      <c r="M32" s="2" t="s">
        <v>40</v>
      </c>
      <c r="N32" s="2" t="s">
        <v>28</v>
      </c>
      <c r="O32" s="2" t="s">
        <v>65</v>
      </c>
      <c r="P32" s="2" t="s">
        <v>30</v>
      </c>
      <c r="Q32" s="2" t="s">
        <v>31</v>
      </c>
      <c r="R32" s="2" t="s">
        <v>32</v>
      </c>
      <c r="S32" s="2" t="s">
        <v>57</v>
      </c>
      <c r="T32" s="2" t="s">
        <v>34</v>
      </c>
      <c r="U32" s="2" t="s">
        <v>68</v>
      </c>
      <c r="V32" s="2" t="s">
        <v>29</v>
      </c>
      <c r="W32" s="2" t="s">
        <v>52</v>
      </c>
      <c r="X32" s="2" t="s">
        <v>37</v>
      </c>
      <c r="Y32" s="2" t="s">
        <v>38</v>
      </c>
      <c r="Z32" s="2" t="s">
        <v>54</v>
      </c>
      <c r="AA32" s="2"/>
    </row>
    <row r="33" spans="1:27" x14ac:dyDescent="0.3">
      <c r="A33" s="2"/>
      <c r="B33" s="2"/>
      <c r="C33" s="2" t="s">
        <v>26</v>
      </c>
      <c r="D33" s="2">
        <v>31</v>
      </c>
      <c r="E33" s="2" t="s">
        <v>27</v>
      </c>
      <c r="F33" s="2">
        <v>2</v>
      </c>
      <c r="G33" s="2">
        <v>4</v>
      </c>
      <c r="H33" s="2">
        <v>7</v>
      </c>
      <c r="I33" s="2">
        <v>6</v>
      </c>
      <c r="J33" s="2">
        <v>3</v>
      </c>
      <c r="K33" s="2">
        <v>1</v>
      </c>
      <c r="L33" s="2">
        <v>5</v>
      </c>
      <c r="M33" s="2" t="s">
        <v>27</v>
      </c>
      <c r="N33" s="2" t="s">
        <v>28</v>
      </c>
      <c r="O33" s="2" t="s">
        <v>29</v>
      </c>
      <c r="P33" s="2" t="s">
        <v>30</v>
      </c>
      <c r="Q33" s="2" t="s">
        <v>49</v>
      </c>
      <c r="R33" s="2" t="s">
        <v>32</v>
      </c>
      <c r="S33" s="2" t="s">
        <v>33</v>
      </c>
      <c r="T33" s="2" t="s">
        <v>67</v>
      </c>
      <c r="U33" s="2" t="s">
        <v>35</v>
      </c>
      <c r="V33" s="2" t="s">
        <v>29</v>
      </c>
      <c r="W33" s="2" t="s">
        <v>36</v>
      </c>
      <c r="X33" s="2" t="s">
        <v>53</v>
      </c>
      <c r="Y33" s="2" t="s">
        <v>38</v>
      </c>
      <c r="Z33" s="2" t="s">
        <v>47</v>
      </c>
      <c r="AA33" s="2"/>
    </row>
    <row r="34" spans="1:27" x14ac:dyDescent="0.3">
      <c r="A34" s="2"/>
      <c r="B34" s="2"/>
      <c r="C34" s="2" t="s">
        <v>48</v>
      </c>
      <c r="D34" s="2">
        <v>27</v>
      </c>
      <c r="E34" s="2" t="s">
        <v>27</v>
      </c>
      <c r="F34" s="2">
        <v>2</v>
      </c>
      <c r="G34" s="2">
        <v>4</v>
      </c>
      <c r="H34" s="2">
        <v>7</v>
      </c>
      <c r="I34" s="2">
        <v>5</v>
      </c>
      <c r="J34" s="2">
        <v>1</v>
      </c>
      <c r="K34" s="2">
        <v>3</v>
      </c>
      <c r="L34" s="2">
        <v>6</v>
      </c>
      <c r="M34" s="2" t="s">
        <v>27</v>
      </c>
      <c r="N34" s="2" t="s">
        <v>28</v>
      </c>
      <c r="O34" s="2" t="s">
        <v>29</v>
      </c>
      <c r="P34" s="2" t="s">
        <v>30</v>
      </c>
      <c r="Q34" s="2" t="s">
        <v>49</v>
      </c>
      <c r="R34" s="2" t="s">
        <v>32</v>
      </c>
      <c r="S34" s="2" t="s">
        <v>63</v>
      </c>
      <c r="T34" s="2" t="s">
        <v>51</v>
      </c>
      <c r="U34" s="2" t="s">
        <v>44</v>
      </c>
      <c r="V34" s="2" t="s">
        <v>29</v>
      </c>
      <c r="W34" s="2" t="s">
        <v>58</v>
      </c>
      <c r="X34" s="2" t="s">
        <v>53</v>
      </c>
      <c r="Y34" s="2" t="s">
        <v>38</v>
      </c>
      <c r="Z34" s="2" t="s">
        <v>39</v>
      </c>
      <c r="AA34" s="2"/>
    </row>
    <row r="35" spans="1:27" x14ac:dyDescent="0.3">
      <c r="A35" s="2"/>
      <c r="B35" s="2"/>
      <c r="C35" s="2" t="s">
        <v>48</v>
      </c>
      <c r="D35" s="2">
        <v>26</v>
      </c>
      <c r="E35" s="2" t="s">
        <v>27</v>
      </c>
      <c r="F35" s="2">
        <v>2</v>
      </c>
      <c r="G35" s="2">
        <v>3</v>
      </c>
      <c r="H35" s="2">
        <v>6</v>
      </c>
      <c r="I35" s="2">
        <v>4</v>
      </c>
      <c r="J35" s="2">
        <v>1</v>
      </c>
      <c r="K35" s="2">
        <v>5</v>
      </c>
      <c r="L35" s="2">
        <v>7</v>
      </c>
      <c r="M35" s="2" t="s">
        <v>27</v>
      </c>
      <c r="N35" s="2" t="s">
        <v>28</v>
      </c>
      <c r="O35" s="2" t="s">
        <v>29</v>
      </c>
      <c r="P35" s="2" t="s">
        <v>28</v>
      </c>
      <c r="Q35" s="2" t="s">
        <v>31</v>
      </c>
      <c r="R35" s="2" t="s">
        <v>32</v>
      </c>
      <c r="S35" s="2" t="s">
        <v>33</v>
      </c>
      <c r="T35" s="2" t="s">
        <v>67</v>
      </c>
      <c r="U35" s="2" t="s">
        <v>68</v>
      </c>
      <c r="V35" s="2" t="s">
        <v>45</v>
      </c>
      <c r="W35" s="2" t="s">
        <v>36</v>
      </c>
      <c r="X35" s="2" t="s">
        <v>37</v>
      </c>
      <c r="Y35" s="2" t="s">
        <v>61</v>
      </c>
      <c r="Z35" s="2" t="s">
        <v>39</v>
      </c>
      <c r="AA35" s="2"/>
    </row>
    <row r="36" spans="1:27" x14ac:dyDescent="0.3">
      <c r="A36" s="2"/>
      <c r="B36" s="2"/>
      <c r="C36" s="2" t="s">
        <v>48</v>
      </c>
      <c r="D36" s="2">
        <v>27</v>
      </c>
      <c r="E36" s="2" t="s">
        <v>27</v>
      </c>
      <c r="F36" s="2">
        <v>2</v>
      </c>
      <c r="G36" s="2">
        <v>3</v>
      </c>
      <c r="H36" s="2">
        <v>6</v>
      </c>
      <c r="I36" s="2">
        <v>5</v>
      </c>
      <c r="J36" s="2">
        <v>4</v>
      </c>
      <c r="K36" s="2">
        <v>1</v>
      </c>
      <c r="L36" s="2">
        <v>7</v>
      </c>
      <c r="M36" s="2" t="s">
        <v>27</v>
      </c>
      <c r="N36" s="2" t="s">
        <v>28</v>
      </c>
      <c r="O36" s="2" t="s">
        <v>29</v>
      </c>
      <c r="P36" s="2" t="s">
        <v>30</v>
      </c>
      <c r="Q36" s="2" t="s">
        <v>31</v>
      </c>
      <c r="R36" s="2" t="s">
        <v>43</v>
      </c>
      <c r="S36" s="2" t="s">
        <v>33</v>
      </c>
      <c r="T36" s="2" t="s">
        <v>34</v>
      </c>
      <c r="U36" s="2" t="s">
        <v>44</v>
      </c>
      <c r="V36" s="2" t="s">
        <v>29</v>
      </c>
      <c r="W36" s="2" t="s">
        <v>36</v>
      </c>
      <c r="X36" s="2" t="s">
        <v>37</v>
      </c>
      <c r="Y36" s="2" t="s">
        <v>38</v>
      </c>
      <c r="Z36" s="2" t="s">
        <v>47</v>
      </c>
      <c r="AA36" s="2"/>
    </row>
    <row r="37" spans="1:27" x14ac:dyDescent="0.3">
      <c r="A37" s="2"/>
      <c r="B37" s="2"/>
      <c r="C37" s="2" t="s">
        <v>48</v>
      </c>
      <c r="D37" s="2">
        <v>30</v>
      </c>
      <c r="E37" s="2" t="s">
        <v>27</v>
      </c>
      <c r="F37" s="2">
        <v>1</v>
      </c>
      <c r="G37" s="2">
        <v>4</v>
      </c>
      <c r="H37" s="2">
        <v>6</v>
      </c>
      <c r="I37" s="2">
        <v>5</v>
      </c>
      <c r="J37" s="2">
        <v>3</v>
      </c>
      <c r="K37" s="2">
        <v>2</v>
      </c>
      <c r="L37" s="2">
        <v>7</v>
      </c>
      <c r="M37" s="2" t="s">
        <v>27</v>
      </c>
      <c r="N37" s="2" t="s">
        <v>62</v>
      </c>
      <c r="O37" s="2" t="s">
        <v>65</v>
      </c>
      <c r="P37" s="2" t="s">
        <v>30</v>
      </c>
      <c r="Q37" s="2" t="s">
        <v>49</v>
      </c>
      <c r="R37" s="2" t="s">
        <v>32</v>
      </c>
      <c r="S37" s="2" t="s">
        <v>33</v>
      </c>
      <c r="T37" s="2" t="s">
        <v>67</v>
      </c>
      <c r="U37" s="2" t="s">
        <v>44</v>
      </c>
      <c r="V37" s="2" t="s">
        <v>29</v>
      </c>
      <c r="W37" s="2" t="s">
        <v>36</v>
      </c>
      <c r="X37" s="2" t="s">
        <v>53</v>
      </c>
      <c r="Y37" s="2" t="s">
        <v>38</v>
      </c>
      <c r="Z37" s="2" t="s">
        <v>47</v>
      </c>
      <c r="AA37" s="2"/>
    </row>
    <row r="38" spans="1:27" x14ac:dyDescent="0.3">
      <c r="A38" s="2"/>
      <c r="B38" s="2"/>
      <c r="C38" s="2" t="s">
        <v>48</v>
      </c>
      <c r="D38" s="2">
        <v>30</v>
      </c>
      <c r="E38" s="2" t="s">
        <v>27</v>
      </c>
      <c r="F38" s="2">
        <v>2</v>
      </c>
      <c r="G38" s="2">
        <v>4</v>
      </c>
      <c r="H38" s="2">
        <v>7</v>
      </c>
      <c r="I38" s="2">
        <v>5</v>
      </c>
      <c r="J38" s="2">
        <v>1</v>
      </c>
      <c r="K38" s="2">
        <v>3</v>
      </c>
      <c r="L38" s="2">
        <v>6</v>
      </c>
      <c r="M38" s="2" t="s">
        <v>27</v>
      </c>
      <c r="N38" s="2" t="s">
        <v>28</v>
      </c>
      <c r="O38" s="2" t="s">
        <v>29</v>
      </c>
      <c r="P38" s="2" t="s">
        <v>30</v>
      </c>
      <c r="Q38" s="2" t="s">
        <v>31</v>
      </c>
      <c r="R38" s="2" t="s">
        <v>32</v>
      </c>
      <c r="S38" s="2" t="s">
        <v>33</v>
      </c>
      <c r="T38" s="2" t="s">
        <v>51</v>
      </c>
      <c r="U38" s="2" t="s">
        <v>35</v>
      </c>
      <c r="V38" s="2" t="s">
        <v>29</v>
      </c>
      <c r="W38" s="2" t="s">
        <v>36</v>
      </c>
      <c r="X38" s="2" t="s">
        <v>53</v>
      </c>
      <c r="Y38" s="2" t="s">
        <v>61</v>
      </c>
      <c r="Z38" s="2" t="s">
        <v>39</v>
      </c>
      <c r="AA38" s="2"/>
    </row>
    <row r="39" spans="1:27" x14ac:dyDescent="0.3">
      <c r="A39" s="2"/>
      <c r="B39" s="2"/>
      <c r="C39" s="2" t="s">
        <v>48</v>
      </c>
      <c r="D39" s="2">
        <v>25</v>
      </c>
      <c r="E39" s="2" t="s">
        <v>27</v>
      </c>
      <c r="F39" s="2">
        <v>5</v>
      </c>
      <c r="G39" s="2">
        <v>4</v>
      </c>
      <c r="H39" s="2">
        <v>7</v>
      </c>
      <c r="I39" s="2">
        <v>6</v>
      </c>
      <c r="J39" s="2">
        <v>1</v>
      </c>
      <c r="K39" s="2">
        <v>2</v>
      </c>
      <c r="L39" s="2">
        <v>3</v>
      </c>
      <c r="M39" s="2" t="s">
        <v>27</v>
      </c>
      <c r="N39" s="2" t="s">
        <v>62</v>
      </c>
      <c r="O39" s="2" t="s">
        <v>65</v>
      </c>
      <c r="P39" s="2" t="s">
        <v>66</v>
      </c>
      <c r="Q39" s="2" t="s">
        <v>49</v>
      </c>
      <c r="R39" s="2" t="s">
        <v>32</v>
      </c>
      <c r="S39" s="2" t="s">
        <v>63</v>
      </c>
      <c r="T39" s="2" t="s">
        <v>69</v>
      </c>
      <c r="U39" s="2" t="s">
        <v>44</v>
      </c>
      <c r="V39" s="2" t="s">
        <v>29</v>
      </c>
      <c r="W39" s="2" t="s">
        <v>36</v>
      </c>
      <c r="X39" s="2" t="s">
        <v>37</v>
      </c>
      <c r="Y39" s="2" t="s">
        <v>38</v>
      </c>
      <c r="Z39" s="2" t="s">
        <v>47</v>
      </c>
      <c r="AA39" s="2"/>
    </row>
    <row r="40" spans="1:27" x14ac:dyDescent="0.3">
      <c r="A40" s="2"/>
      <c r="B40" s="2"/>
      <c r="C40" s="2" t="s">
        <v>48</v>
      </c>
      <c r="D40" s="2">
        <v>31</v>
      </c>
      <c r="E40" s="2" t="s">
        <v>27</v>
      </c>
      <c r="F40" s="2">
        <v>2</v>
      </c>
      <c r="G40" s="2">
        <v>4</v>
      </c>
      <c r="H40" s="2">
        <v>7</v>
      </c>
      <c r="I40" s="2">
        <v>5</v>
      </c>
      <c r="J40" s="2">
        <v>3</v>
      </c>
      <c r="K40" s="2">
        <v>1</v>
      </c>
      <c r="L40" s="2">
        <v>6</v>
      </c>
      <c r="M40" s="2" t="s">
        <v>27</v>
      </c>
      <c r="N40" s="2" t="s">
        <v>62</v>
      </c>
      <c r="O40" s="2" t="s">
        <v>65</v>
      </c>
      <c r="P40" s="2" t="s">
        <v>30</v>
      </c>
      <c r="Q40" s="2" t="s">
        <v>31</v>
      </c>
      <c r="R40" s="2" t="s">
        <v>43</v>
      </c>
      <c r="S40" s="2" t="s">
        <v>33</v>
      </c>
      <c r="T40" s="2" t="s">
        <v>51</v>
      </c>
      <c r="U40" s="2" t="s">
        <v>44</v>
      </c>
      <c r="V40" s="2" t="s">
        <v>45</v>
      </c>
      <c r="W40" s="2" t="s">
        <v>58</v>
      </c>
      <c r="X40" s="2" t="s">
        <v>53</v>
      </c>
      <c r="Y40" s="2" t="s">
        <v>38</v>
      </c>
      <c r="Z40" s="2" t="s">
        <v>39</v>
      </c>
      <c r="AA40" s="2"/>
    </row>
    <row r="41" spans="1:27" x14ac:dyDescent="0.3">
      <c r="A41" s="2"/>
      <c r="B41" s="2"/>
      <c r="C41" s="2" t="s">
        <v>48</v>
      </c>
      <c r="D41" s="2">
        <v>29</v>
      </c>
      <c r="E41" s="2" t="s">
        <v>27</v>
      </c>
      <c r="F41" s="2">
        <v>4</v>
      </c>
      <c r="G41" s="2">
        <v>3</v>
      </c>
      <c r="H41" s="2">
        <v>5</v>
      </c>
      <c r="I41" s="2">
        <v>7</v>
      </c>
      <c r="J41" s="2">
        <v>2</v>
      </c>
      <c r="K41" s="2">
        <v>1</v>
      </c>
      <c r="L41" s="2">
        <v>6</v>
      </c>
      <c r="M41" s="2" t="s">
        <v>27</v>
      </c>
      <c r="N41" s="2" t="s">
        <v>28</v>
      </c>
      <c r="O41" s="2" t="s">
        <v>29</v>
      </c>
      <c r="P41" s="2" t="s">
        <v>30</v>
      </c>
      <c r="Q41" s="2" t="s">
        <v>49</v>
      </c>
      <c r="R41" s="2" t="s">
        <v>32</v>
      </c>
      <c r="S41" s="2" t="s">
        <v>33</v>
      </c>
      <c r="T41" s="2" t="s">
        <v>67</v>
      </c>
      <c r="U41" s="2" t="s">
        <v>35</v>
      </c>
      <c r="V41" s="2" t="s">
        <v>45</v>
      </c>
      <c r="W41" s="2" t="s">
        <v>36</v>
      </c>
      <c r="X41" s="2" t="s">
        <v>37</v>
      </c>
      <c r="Y41" s="2" t="s">
        <v>38</v>
      </c>
      <c r="Z41" s="2" t="s">
        <v>47</v>
      </c>
      <c r="AA4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C777-0036-4868-A696-A2D8FB5A1480}">
  <dimension ref="A3:C6"/>
  <sheetViews>
    <sheetView workbookViewId="0">
      <selection activeCell="M26" sqref="M26"/>
    </sheetView>
  </sheetViews>
  <sheetFormatPr defaultRowHeight="14.4" x14ac:dyDescent="0.3"/>
  <cols>
    <col min="1" max="1" width="12.44140625" bestFit="1" customWidth="1"/>
    <col min="2" max="2" width="13.88671875" bestFit="1" customWidth="1"/>
    <col min="3" max="3" width="10.33203125" bestFit="1" customWidth="1"/>
  </cols>
  <sheetData>
    <row r="3" spans="1:3" x14ac:dyDescent="0.3">
      <c r="A3" s="1" t="s">
        <v>70</v>
      </c>
      <c r="B3" s="2" t="s">
        <v>72</v>
      </c>
      <c r="C3" s="2" t="s">
        <v>73</v>
      </c>
    </row>
    <row r="4" spans="1:3" x14ac:dyDescent="0.3">
      <c r="A4" s="3" t="s">
        <v>26</v>
      </c>
      <c r="B4" s="2">
        <v>15</v>
      </c>
      <c r="C4" s="4">
        <v>0.375</v>
      </c>
    </row>
    <row r="5" spans="1:3" x14ac:dyDescent="0.3">
      <c r="A5" s="3" t="s">
        <v>48</v>
      </c>
      <c r="B5" s="2">
        <v>25</v>
      </c>
      <c r="C5" s="4">
        <v>0.625</v>
      </c>
    </row>
    <row r="6" spans="1:3" x14ac:dyDescent="0.3">
      <c r="A6" s="3" t="s">
        <v>71</v>
      </c>
      <c r="B6" s="2">
        <v>40</v>
      </c>
      <c r="C6" s="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48EA5-320A-4392-AB2B-8620C409CDA6}">
  <dimension ref="A3:E7"/>
  <sheetViews>
    <sheetView workbookViewId="0">
      <selection activeCell="L24" sqref="L24"/>
    </sheetView>
  </sheetViews>
  <sheetFormatPr defaultRowHeight="14.4" x14ac:dyDescent="0.3"/>
  <cols>
    <col min="1" max="1" width="12.44140625" bestFit="1" customWidth="1"/>
    <col min="2" max="2" width="15.5546875" bestFit="1" customWidth="1"/>
    <col min="3" max="4" width="5.6640625" bestFit="1" customWidth="1"/>
    <col min="5" max="5" width="10.5546875" bestFit="1" customWidth="1"/>
    <col min="6" max="15" width="8.77734375" customWidth="1"/>
    <col min="16" max="16" width="10.5546875" bestFit="1" customWidth="1"/>
  </cols>
  <sheetData>
    <row r="3" spans="1:5" x14ac:dyDescent="0.3">
      <c r="A3" s="1" t="s">
        <v>78</v>
      </c>
      <c r="B3" s="1" t="s">
        <v>74</v>
      </c>
      <c r="C3" s="2"/>
      <c r="D3" s="2"/>
      <c r="E3" s="2"/>
    </row>
    <row r="4" spans="1:5" x14ac:dyDescent="0.3">
      <c r="A4" s="1" t="s">
        <v>70</v>
      </c>
      <c r="B4" s="2" t="s">
        <v>75</v>
      </c>
      <c r="C4" s="2" t="s">
        <v>76</v>
      </c>
      <c r="D4" s="2" t="s">
        <v>77</v>
      </c>
      <c r="E4" s="2" t="s">
        <v>71</v>
      </c>
    </row>
    <row r="5" spans="1:5" x14ac:dyDescent="0.3">
      <c r="A5" s="3" t="s">
        <v>27</v>
      </c>
      <c r="B5" s="2">
        <v>7</v>
      </c>
      <c r="C5" s="2">
        <v>21</v>
      </c>
      <c r="D5" s="2">
        <v>9</v>
      </c>
      <c r="E5" s="2">
        <v>37</v>
      </c>
    </row>
    <row r="6" spans="1:5" x14ac:dyDescent="0.3">
      <c r="A6" s="3" t="s">
        <v>40</v>
      </c>
      <c r="B6" s="2">
        <v>3</v>
      </c>
      <c r="C6" s="2"/>
      <c r="D6" s="2"/>
      <c r="E6" s="2">
        <v>3</v>
      </c>
    </row>
    <row r="7" spans="1:5" x14ac:dyDescent="0.3">
      <c r="A7" s="3" t="s">
        <v>71</v>
      </c>
      <c r="B7" s="2">
        <v>10</v>
      </c>
      <c r="C7" s="2">
        <v>21</v>
      </c>
      <c r="D7" s="2">
        <v>9</v>
      </c>
      <c r="E7" s="2">
        <v>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CD67-3EC8-4FBF-93C0-0BC65B4F8427}">
  <dimension ref="A3:E18"/>
  <sheetViews>
    <sheetView workbookViewId="0">
      <selection activeCell="L29" sqref="L29"/>
    </sheetView>
  </sheetViews>
  <sheetFormatPr defaultRowHeight="14.4" x14ac:dyDescent="0.3"/>
  <cols>
    <col min="1" max="1" width="17.44140625" bestFit="1" customWidth="1"/>
    <col min="2" max="2" width="15.5546875" bestFit="1" customWidth="1"/>
    <col min="3" max="4" width="5.6640625" bestFit="1" customWidth="1"/>
    <col min="5" max="5" width="10.5546875" bestFit="1" customWidth="1"/>
  </cols>
  <sheetData>
    <row r="3" spans="1:5" x14ac:dyDescent="0.3">
      <c r="A3" s="1" t="s">
        <v>78</v>
      </c>
      <c r="B3" s="1" t="s">
        <v>74</v>
      </c>
      <c r="C3" s="2"/>
      <c r="D3" s="2"/>
      <c r="E3" s="2"/>
    </row>
    <row r="4" spans="1:5" x14ac:dyDescent="0.3">
      <c r="A4" s="1" t="s">
        <v>70</v>
      </c>
      <c r="B4" s="2" t="s">
        <v>75</v>
      </c>
      <c r="C4" s="2" t="s">
        <v>76</v>
      </c>
      <c r="D4" s="2" t="s">
        <v>77</v>
      </c>
      <c r="E4" s="2" t="s">
        <v>71</v>
      </c>
    </row>
    <row r="5" spans="1:5" x14ac:dyDescent="0.3">
      <c r="A5" s="3" t="s">
        <v>80</v>
      </c>
      <c r="B5" s="2">
        <v>5</v>
      </c>
      <c r="C5" s="2">
        <v>18</v>
      </c>
      <c r="D5" s="2">
        <v>5</v>
      </c>
      <c r="E5" s="2">
        <v>28</v>
      </c>
    </row>
    <row r="6" spans="1:5" x14ac:dyDescent="0.3">
      <c r="A6" s="3" t="s">
        <v>59</v>
      </c>
      <c r="B6" s="2"/>
      <c r="C6" s="2"/>
      <c r="D6" s="2">
        <v>1</v>
      </c>
      <c r="E6" s="2">
        <v>1</v>
      </c>
    </row>
    <row r="7" spans="1:5" x14ac:dyDescent="0.3">
      <c r="A7" s="3" t="s">
        <v>52</v>
      </c>
      <c r="B7" s="2">
        <v>1</v>
      </c>
      <c r="C7" s="2"/>
      <c r="D7" s="2"/>
      <c r="E7" s="2">
        <v>1</v>
      </c>
    </row>
    <row r="8" spans="1:5" x14ac:dyDescent="0.3">
      <c r="A8" s="3" t="s">
        <v>37</v>
      </c>
      <c r="B8" s="2"/>
      <c r="C8" s="2">
        <v>1</v>
      </c>
      <c r="D8" s="2"/>
      <c r="E8" s="2">
        <v>1</v>
      </c>
    </row>
    <row r="9" spans="1:5" x14ac:dyDescent="0.3">
      <c r="A9" s="3" t="s">
        <v>61</v>
      </c>
      <c r="B9" s="2"/>
      <c r="C9" s="2">
        <v>1</v>
      </c>
      <c r="D9" s="2"/>
      <c r="E9" s="2">
        <v>1</v>
      </c>
    </row>
    <row r="10" spans="1:5" x14ac:dyDescent="0.3">
      <c r="A10" s="3" t="s">
        <v>64</v>
      </c>
      <c r="B10" s="2"/>
      <c r="C10" s="2">
        <v>1</v>
      </c>
      <c r="D10" s="2"/>
      <c r="E10" s="2">
        <v>1</v>
      </c>
    </row>
    <row r="11" spans="1:5" x14ac:dyDescent="0.3">
      <c r="A11" s="3" t="s">
        <v>46</v>
      </c>
      <c r="B11" s="2"/>
      <c r="C11" s="2"/>
      <c r="D11" s="2">
        <v>1</v>
      </c>
      <c r="E11" s="2">
        <v>1</v>
      </c>
    </row>
    <row r="12" spans="1:5" x14ac:dyDescent="0.3">
      <c r="A12" s="3" t="s">
        <v>58</v>
      </c>
      <c r="B12" s="2">
        <v>1</v>
      </c>
      <c r="C12" s="2"/>
      <c r="D12" s="2"/>
      <c r="E12" s="2">
        <v>1</v>
      </c>
    </row>
    <row r="13" spans="1:5" x14ac:dyDescent="0.3">
      <c r="A13" s="3" t="s">
        <v>38</v>
      </c>
      <c r="B13" s="2"/>
      <c r="C13" s="2"/>
      <c r="D13" s="2">
        <v>1</v>
      </c>
      <c r="E13" s="2">
        <v>1</v>
      </c>
    </row>
    <row r="14" spans="1:5" x14ac:dyDescent="0.3">
      <c r="A14" s="3" t="s">
        <v>45</v>
      </c>
      <c r="B14" s="2">
        <v>1</v>
      </c>
      <c r="C14" s="2"/>
      <c r="D14" s="2"/>
      <c r="E14" s="2">
        <v>1</v>
      </c>
    </row>
    <row r="15" spans="1:5" x14ac:dyDescent="0.3">
      <c r="A15" s="3" t="s">
        <v>29</v>
      </c>
      <c r="B15" s="2"/>
      <c r="C15" s="2"/>
      <c r="D15" s="2">
        <v>1</v>
      </c>
      <c r="E15" s="2">
        <v>1</v>
      </c>
    </row>
    <row r="16" spans="1:5" x14ac:dyDescent="0.3">
      <c r="A16" s="3" t="s">
        <v>36</v>
      </c>
      <c r="B16" s="2">
        <v>1</v>
      </c>
      <c r="C16" s="2"/>
      <c r="D16" s="2"/>
      <c r="E16" s="2">
        <v>1</v>
      </c>
    </row>
    <row r="17" spans="1:5" x14ac:dyDescent="0.3">
      <c r="A17" s="3" t="s">
        <v>53</v>
      </c>
      <c r="B17" s="2">
        <v>1</v>
      </c>
      <c r="C17" s="2"/>
      <c r="D17" s="2"/>
      <c r="E17" s="2">
        <v>1</v>
      </c>
    </row>
    <row r="18" spans="1:5" x14ac:dyDescent="0.3">
      <c r="A18" s="3" t="s">
        <v>71</v>
      </c>
      <c r="B18" s="2">
        <v>10</v>
      </c>
      <c r="C18" s="2">
        <v>21</v>
      </c>
      <c r="D18" s="2">
        <v>9</v>
      </c>
      <c r="E18" s="2">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EC1F-7438-4825-9547-AD0A3D3EA051}">
  <dimension ref="A3:B7"/>
  <sheetViews>
    <sheetView workbookViewId="0">
      <selection activeCell="B13" sqref="B13"/>
    </sheetView>
  </sheetViews>
  <sheetFormatPr defaultRowHeight="14.4" x14ac:dyDescent="0.3"/>
  <cols>
    <col min="1" max="1" width="13.88671875" bestFit="1" customWidth="1"/>
    <col min="2" max="2" width="36.33203125" bestFit="1" customWidth="1"/>
  </cols>
  <sheetData>
    <row r="3" spans="1:2" x14ac:dyDescent="0.3">
      <c r="A3" s="1" t="s">
        <v>70</v>
      </c>
      <c r="B3" s="2" t="s">
        <v>81</v>
      </c>
    </row>
    <row r="4" spans="1:2" x14ac:dyDescent="0.3">
      <c r="A4" s="3" t="s">
        <v>68</v>
      </c>
      <c r="B4" s="2">
        <v>3</v>
      </c>
    </row>
    <row r="5" spans="1:2" x14ac:dyDescent="0.3">
      <c r="A5" s="3" t="s">
        <v>44</v>
      </c>
      <c r="B5" s="2">
        <v>13</v>
      </c>
    </row>
    <row r="6" spans="1:2" x14ac:dyDescent="0.3">
      <c r="A6" s="3" t="s">
        <v>35</v>
      </c>
      <c r="B6" s="2">
        <v>24</v>
      </c>
    </row>
    <row r="7" spans="1:2" x14ac:dyDescent="0.3">
      <c r="A7" s="3" t="s">
        <v>71</v>
      </c>
      <c r="B7" s="2">
        <v>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EDCA-8482-4037-9047-3BF6A0CEF21B}">
  <dimension ref="A3:B8"/>
  <sheetViews>
    <sheetView workbookViewId="0">
      <selection activeCell="P27" sqref="P27"/>
    </sheetView>
  </sheetViews>
  <sheetFormatPr defaultRowHeight="14.4" x14ac:dyDescent="0.3"/>
  <cols>
    <col min="1" max="1" width="23.5546875" bestFit="1" customWidth="1"/>
    <col min="2" max="2" width="14" bestFit="1" customWidth="1"/>
  </cols>
  <sheetData>
    <row r="3" spans="1:2" x14ac:dyDescent="0.3">
      <c r="A3" s="1" t="s">
        <v>70</v>
      </c>
      <c r="B3" s="2" t="s">
        <v>82</v>
      </c>
    </row>
    <row r="4" spans="1:2" x14ac:dyDescent="0.3">
      <c r="A4" s="3" t="s">
        <v>47</v>
      </c>
      <c r="B4" s="2">
        <v>16</v>
      </c>
    </row>
    <row r="5" spans="1:2" x14ac:dyDescent="0.3">
      <c r="A5" s="3" t="s">
        <v>60</v>
      </c>
      <c r="B5" s="2">
        <v>4</v>
      </c>
    </row>
    <row r="6" spans="1:2" x14ac:dyDescent="0.3">
      <c r="A6" s="3" t="s">
        <v>39</v>
      </c>
      <c r="B6" s="2">
        <v>14</v>
      </c>
    </row>
    <row r="7" spans="1:2" x14ac:dyDescent="0.3">
      <c r="A7" s="3" t="s">
        <v>54</v>
      </c>
      <c r="B7" s="2">
        <v>6</v>
      </c>
    </row>
    <row r="8" spans="1:2" x14ac:dyDescent="0.3">
      <c r="A8" s="3" t="s">
        <v>71</v>
      </c>
      <c r="B8" s="2">
        <v>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0FC4-E72D-4599-BDDF-843E177DF5C4}">
  <dimension ref="A3:B8"/>
  <sheetViews>
    <sheetView workbookViewId="0">
      <selection activeCell="L27" sqref="L27"/>
    </sheetView>
  </sheetViews>
  <sheetFormatPr defaultRowHeight="14.4" x14ac:dyDescent="0.3"/>
  <cols>
    <col min="1" max="1" width="15.109375" bestFit="1" customWidth="1"/>
    <col min="2" max="2" width="11" bestFit="1" customWidth="1"/>
  </cols>
  <sheetData>
    <row r="3" spans="1:2" x14ac:dyDescent="0.3">
      <c r="A3" s="1" t="s">
        <v>70</v>
      </c>
      <c r="B3" s="2" t="s">
        <v>78</v>
      </c>
    </row>
    <row r="4" spans="1:2" x14ac:dyDescent="0.3">
      <c r="A4" s="3" t="s">
        <v>31</v>
      </c>
      <c r="B4" s="2">
        <v>18</v>
      </c>
    </row>
    <row r="5" spans="1:2" x14ac:dyDescent="0.3">
      <c r="A5" s="3" t="s">
        <v>49</v>
      </c>
      <c r="B5" s="2">
        <v>19</v>
      </c>
    </row>
    <row r="6" spans="1:2" x14ac:dyDescent="0.3">
      <c r="A6" s="3" t="s">
        <v>56</v>
      </c>
      <c r="B6" s="2">
        <v>2</v>
      </c>
    </row>
    <row r="7" spans="1:2" x14ac:dyDescent="0.3">
      <c r="A7" s="3" t="s">
        <v>42</v>
      </c>
      <c r="B7" s="2">
        <v>1</v>
      </c>
    </row>
    <row r="8" spans="1:2" x14ac:dyDescent="0.3">
      <c r="A8" s="3" t="s">
        <v>71</v>
      </c>
      <c r="B8" s="2">
        <v>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6554-5A0F-4FFD-8EB4-13B926493B32}">
  <dimension ref="A3:B7"/>
  <sheetViews>
    <sheetView workbookViewId="0">
      <selection activeCell="K29" sqref="K29"/>
    </sheetView>
  </sheetViews>
  <sheetFormatPr defaultRowHeight="14.4" x14ac:dyDescent="0.3"/>
  <cols>
    <col min="1" max="1" width="12.44140625" bestFit="1" customWidth="1"/>
    <col min="2" max="2" width="11" bestFit="1" customWidth="1"/>
  </cols>
  <sheetData>
    <row r="3" spans="1:2" x14ac:dyDescent="0.3">
      <c r="A3" s="5" t="s">
        <v>70</v>
      </c>
      <c r="B3" t="s">
        <v>78</v>
      </c>
    </row>
    <row r="4" spans="1:2" x14ac:dyDescent="0.3">
      <c r="A4" s="6" t="s">
        <v>57</v>
      </c>
      <c r="B4">
        <v>3</v>
      </c>
    </row>
    <row r="5" spans="1:2" x14ac:dyDescent="0.3">
      <c r="A5" s="6" t="s">
        <v>33</v>
      </c>
      <c r="B5">
        <v>32</v>
      </c>
    </row>
    <row r="6" spans="1:2" x14ac:dyDescent="0.3">
      <c r="A6" s="6" t="s">
        <v>63</v>
      </c>
      <c r="B6">
        <v>5</v>
      </c>
    </row>
    <row r="7" spans="1:2" x14ac:dyDescent="0.3">
      <c r="A7" s="6" t="s">
        <v>71</v>
      </c>
      <c r="B7">
        <v>40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7E60-2AFE-4154-9528-0D7D6690E0E1}">
  <dimension ref="A1:H41"/>
  <sheetViews>
    <sheetView workbookViewId="0">
      <selection activeCell="L25" sqref="L25"/>
    </sheetView>
  </sheetViews>
  <sheetFormatPr defaultRowHeight="14.4" x14ac:dyDescent="0.3"/>
  <sheetData>
    <row r="1" spans="1:8" x14ac:dyDescent="0.3">
      <c r="A1" s="8" t="s">
        <v>83</v>
      </c>
      <c r="B1" s="8" t="s">
        <v>16</v>
      </c>
      <c r="C1" s="8" t="s">
        <v>18</v>
      </c>
      <c r="E1" s="9"/>
      <c r="F1" s="9" t="s">
        <v>83</v>
      </c>
      <c r="G1" s="9" t="s">
        <v>16</v>
      </c>
      <c r="H1" s="9" t="s">
        <v>18</v>
      </c>
    </row>
    <row r="2" spans="1:8" x14ac:dyDescent="0.3">
      <c r="A2" s="2">
        <f>IF('[1]Dataset 1'!Z2="Male",1,0)</f>
        <v>0</v>
      </c>
      <c r="B2" s="2">
        <f>IF('[1]Dataset 1'!AA2="Less than 1 year",0.5, IF('[1]Dataset 1'!AA2="1-3 years",2, IF('[1]Dataset 1'!AA2="3-5 years",4, IF('[1]Dataset 1'!AA2="More than 5 years",6,""))))</f>
        <v>2</v>
      </c>
      <c r="C2" s="2">
        <f>IF('[1]Dataset 1'!AB2="10%-20%",15, IF('[1]Dataset 1'!AB2="20%-30%",25, IF('[1]Dataset 1'!AB2="30%-40%",35, IF('[1]Dataset 1'!AB2="40%-50%",45, IF('[1]Dataset 1'!AB2="Less than 10%",5,"")))))</f>
        <v>25</v>
      </c>
      <c r="E2" s="2" t="s">
        <v>83</v>
      </c>
      <c r="F2" s="2">
        <v>1</v>
      </c>
      <c r="G2" s="2"/>
      <c r="H2" s="2"/>
    </row>
    <row r="3" spans="1:8" x14ac:dyDescent="0.3">
      <c r="A3" s="2">
        <f>IF('[1]Dataset 1'!Z3="Male",1,0)</f>
        <v>0</v>
      </c>
      <c r="B3" s="2">
        <f>IF('[1]Dataset 1'!AA3="Less than 1 year",0.5, IF('[1]Dataset 1'!AA3="1-3 years",2, IF('[1]Dataset 1'!AA3="3-5 years",4, IF('[1]Dataset 1'!AA3="More than 5 years",6,""))))</f>
        <v>6</v>
      </c>
      <c r="C3" s="2">
        <f>IF('[1]Dataset 1'!AB3="10%-20%",15, IF('[1]Dataset 1'!AB3="20%-30%",25, IF('[1]Dataset 1'!AB3="30%-40%",35, IF('[1]Dataset 1'!AB3="40%-50%",45, IF('[1]Dataset 1'!AB3="Less than 10%",5,"")))))</f>
        <v>25</v>
      </c>
      <c r="E3" s="2" t="s">
        <v>16</v>
      </c>
      <c r="F3" s="2">
        <v>-8.0081190096476934E-2</v>
      </c>
      <c r="G3" s="2">
        <v>1</v>
      </c>
      <c r="H3" s="2"/>
    </row>
    <row r="4" spans="1:8" x14ac:dyDescent="0.3">
      <c r="A4" s="2">
        <f>IF('[1]Dataset 1'!Z4="Male",1,0)</f>
        <v>1</v>
      </c>
      <c r="B4" s="2">
        <f>IF('[1]Dataset 1'!AA4="Less than 1 year",0.5, IF('[1]Dataset 1'!AA4="1-3 years",2, IF('[1]Dataset 1'!AA4="3-5 years",4, IF('[1]Dataset 1'!AA4="More than 5 years",6,""))))</f>
        <v>4</v>
      </c>
      <c r="C4" s="2">
        <f>IF('[1]Dataset 1'!AB4="10%-20%",15, IF('[1]Dataset 1'!AB4="20%-30%",25, IF('[1]Dataset 1'!AB4="30%-40%",35, IF('[1]Dataset 1'!AB4="40%-50%",45, IF('[1]Dataset 1'!AB4="Less than 10%",5,"")))))</f>
        <v>25</v>
      </c>
      <c r="E4" s="2" t="s">
        <v>18</v>
      </c>
      <c r="F4" s="2">
        <v>-2.9049644688706338E-2</v>
      </c>
      <c r="G4" s="2">
        <v>0.25822264315920551</v>
      </c>
      <c r="H4" s="2">
        <v>1</v>
      </c>
    </row>
    <row r="5" spans="1:8" x14ac:dyDescent="0.3">
      <c r="A5" s="2">
        <f>IF('[1]Dataset 1'!Z5="Male",1,0)</f>
        <v>1</v>
      </c>
      <c r="B5" s="2">
        <f>IF('[1]Dataset 1'!AA5="Less than 1 year",0.5, IF('[1]Dataset 1'!AA5="1-3 years",2, IF('[1]Dataset 1'!AA5="3-5 years",4, IF('[1]Dataset 1'!AA5="More than 5 years",6,""))))</f>
        <v>0.5</v>
      </c>
      <c r="C5" s="2">
        <f>IF('[1]Dataset 1'!AB5="10%-20%",15, IF('[1]Dataset 1'!AB5="20%-30%",25, IF('[1]Dataset 1'!AB5="30%-40%",35, IF('[1]Dataset 1'!AB5="40%-50%",45, IF('[1]Dataset 1'!AB5="Less than 10%",5,"")))))</f>
        <v>15</v>
      </c>
    </row>
    <row r="6" spans="1:8" x14ac:dyDescent="0.3">
      <c r="A6" s="2">
        <f>IF('[1]Dataset 1'!Z6="Male",1,0)</f>
        <v>0</v>
      </c>
      <c r="B6" s="2">
        <f>IF('[1]Dataset 1'!AA6="Less than 1 year",0.5, IF('[1]Dataset 1'!AA6="1-3 years",2, IF('[1]Dataset 1'!AA6="3-5 years",4, IF('[1]Dataset 1'!AA6="More than 5 years",6,""))))</f>
        <v>0.5</v>
      </c>
      <c r="C6" s="2">
        <f>IF('[1]Dataset 1'!AB6="10%-20%",15, IF('[1]Dataset 1'!AB6="20%-30%",25, IF('[1]Dataset 1'!AB6="30%-40%",35, IF('[1]Dataset 1'!AB6="40%-50%",45, IF('[1]Dataset 1'!AB6="Less than 10%",5,"")))))</f>
        <v>25</v>
      </c>
    </row>
    <row r="7" spans="1:8" x14ac:dyDescent="0.3">
      <c r="A7" s="2">
        <f>IF('[1]Dataset 1'!Z7="Male",1,0)</f>
        <v>0</v>
      </c>
      <c r="B7" s="2">
        <f>IF('[1]Dataset 1'!AA7="Less than 1 year",0.5, IF('[1]Dataset 1'!AA7="1-3 years",2, IF('[1]Dataset 1'!AA7="3-5 years",4, IF('[1]Dataset 1'!AA7="More than 5 years",6,""))))</f>
        <v>2</v>
      </c>
      <c r="C7" s="2">
        <f>IF('[1]Dataset 1'!AB7="10%-20%",15, IF('[1]Dataset 1'!AB7="20%-30%",25, IF('[1]Dataset 1'!AB7="30%-40%",35, IF('[1]Dataset 1'!AB7="40%-50%",45, IF('[1]Dataset 1'!AB7="Less than 10%",5,"")))))</f>
        <v>35</v>
      </c>
    </row>
    <row r="8" spans="1:8" x14ac:dyDescent="0.3">
      <c r="A8" s="2">
        <f>IF('[1]Dataset 1'!Z8="Male",1,0)</f>
        <v>0</v>
      </c>
      <c r="B8" s="2">
        <f>IF('[1]Dataset 1'!AA8="Less than 1 year",0.5, IF('[1]Dataset 1'!AA8="1-3 years",2, IF('[1]Dataset 1'!AA8="3-5 years",4, IF('[1]Dataset 1'!AA8="More than 5 years",6,""))))</f>
        <v>4</v>
      </c>
      <c r="C8" s="2">
        <f>IF('[1]Dataset 1'!AB8="10%-20%",15, IF('[1]Dataset 1'!AB8="20%-30%",25, IF('[1]Dataset 1'!AB8="30%-40%",35, IF('[1]Dataset 1'!AB8="40%-50%",45, IF('[1]Dataset 1'!AB8="Less than 10%",5,"")))))</f>
        <v>25</v>
      </c>
    </row>
    <row r="9" spans="1:8" x14ac:dyDescent="0.3">
      <c r="A9" s="2">
        <f>IF('[1]Dataset 1'!Z9="Male",1,0)</f>
        <v>1</v>
      </c>
      <c r="B9" s="2">
        <f>IF('[1]Dataset 1'!AA9="Less than 1 year",0.5, IF('[1]Dataset 1'!AA9="1-3 years",2, IF('[1]Dataset 1'!AA9="3-5 years",4, IF('[1]Dataset 1'!AA9="More than 5 years",6,""))))</f>
        <v>4</v>
      </c>
      <c r="C9" s="2">
        <f>IF('[1]Dataset 1'!AB9="10%-20%",15, IF('[1]Dataset 1'!AB9="20%-30%",25, IF('[1]Dataset 1'!AB9="30%-40%",35, IF('[1]Dataset 1'!AB9="40%-50%",45, IF('[1]Dataset 1'!AB9="Less than 10%",5,"")))))</f>
        <v>25</v>
      </c>
    </row>
    <row r="10" spans="1:8" x14ac:dyDescent="0.3">
      <c r="A10" s="2">
        <f>IF('[1]Dataset 1'!Z10="Male",1,0)</f>
        <v>1</v>
      </c>
      <c r="B10" s="2">
        <f>IF('[1]Dataset 1'!AA10="Less than 1 year",0.5, IF('[1]Dataset 1'!AA10="1-3 years",2, IF('[1]Dataset 1'!AA10="3-5 years",4, IF('[1]Dataset 1'!AA10="More than 5 years",6,""))))</f>
        <v>2</v>
      </c>
      <c r="C10" s="2">
        <f>IF('[1]Dataset 1'!AB10="10%-20%",15, IF('[1]Dataset 1'!AB10="20%-30%",25, IF('[1]Dataset 1'!AB10="30%-40%",35, IF('[1]Dataset 1'!AB10="40%-50%",45, IF('[1]Dataset 1'!AB10="Less than 10%",5,"")))))</f>
        <v>25</v>
      </c>
    </row>
    <row r="11" spans="1:8" x14ac:dyDescent="0.3">
      <c r="A11" s="2">
        <f>IF('[1]Dataset 1'!Z11="Male",1,0)</f>
        <v>1</v>
      </c>
      <c r="B11" s="2">
        <f>IF('[1]Dataset 1'!AA11="Less than 1 year",0.5, IF('[1]Dataset 1'!AA11="1-3 years",2, IF('[1]Dataset 1'!AA11="3-5 years",4, IF('[1]Dataset 1'!AA11="More than 5 years",6,""))))</f>
        <v>4</v>
      </c>
      <c r="C11" s="2">
        <f>IF('[1]Dataset 1'!AB11="10%-20%",15, IF('[1]Dataset 1'!AB11="20%-30%",25, IF('[1]Dataset 1'!AB11="30%-40%",35, IF('[1]Dataset 1'!AB11="40%-50%",45, IF('[1]Dataset 1'!AB11="Less than 10%",5,"")))))</f>
        <v>35</v>
      </c>
    </row>
    <row r="12" spans="1:8" x14ac:dyDescent="0.3">
      <c r="A12" s="2">
        <f>IF('[1]Dataset 1'!Z12="Male",1,0)</f>
        <v>0</v>
      </c>
      <c r="B12" s="2">
        <f>IF('[1]Dataset 1'!AA12="Less than 1 year",0.5, IF('[1]Dataset 1'!AA12="1-3 years",2, IF('[1]Dataset 1'!AA12="3-5 years",4, IF('[1]Dataset 1'!AA12="More than 5 years",6,""))))</f>
        <v>4</v>
      </c>
      <c r="C12" s="2">
        <f>IF('[1]Dataset 1'!AB12="10%-20%",15, IF('[1]Dataset 1'!AB12="20%-30%",25, IF('[1]Dataset 1'!AB12="30%-40%",35, IF('[1]Dataset 1'!AB12="40%-50%",45, IF('[1]Dataset 1'!AB12="Less than 10%",5,"")))))</f>
        <v>25</v>
      </c>
    </row>
    <row r="13" spans="1:8" x14ac:dyDescent="0.3">
      <c r="A13" s="2">
        <f>IF('[1]Dataset 1'!Z13="Male",1,0)</f>
        <v>1</v>
      </c>
      <c r="B13" s="2">
        <f>IF('[1]Dataset 1'!AA13="Less than 1 year",0.5, IF('[1]Dataset 1'!AA13="1-3 years",2, IF('[1]Dataset 1'!AA13="3-5 years",4, IF('[1]Dataset 1'!AA13="More than 5 years",6,""))))</f>
        <v>2</v>
      </c>
      <c r="C13" s="2">
        <f>IF('[1]Dataset 1'!AB13="10%-20%",15, IF('[1]Dataset 1'!AB13="20%-30%",25, IF('[1]Dataset 1'!AB13="30%-40%",35, IF('[1]Dataset 1'!AB13="40%-50%",45, IF('[1]Dataset 1'!AB13="Less than 10%",5,"")))))</f>
        <v>25</v>
      </c>
    </row>
    <row r="14" spans="1:8" x14ac:dyDescent="0.3">
      <c r="A14" s="2">
        <f>IF('[1]Dataset 1'!Z14="Male",1,0)</f>
        <v>0</v>
      </c>
      <c r="B14" s="2">
        <f>IF('[1]Dataset 1'!AA14="Less than 1 year",0.5, IF('[1]Dataset 1'!AA14="1-3 years",2, IF('[1]Dataset 1'!AA14="3-5 years",4, IF('[1]Dataset 1'!AA14="More than 5 years",6,""))))</f>
        <v>2</v>
      </c>
      <c r="C14" s="2">
        <f>IF('[1]Dataset 1'!AB14="10%-20%",15, IF('[1]Dataset 1'!AB14="20%-30%",25, IF('[1]Dataset 1'!AB14="30%-40%",35, IF('[1]Dataset 1'!AB14="40%-50%",45, IF('[1]Dataset 1'!AB14="Less than 10%",5,"")))))</f>
        <v>25</v>
      </c>
    </row>
    <row r="15" spans="1:8" x14ac:dyDescent="0.3">
      <c r="A15" s="2">
        <f>IF('[1]Dataset 1'!Z15="Male",1,0)</f>
        <v>0</v>
      </c>
      <c r="B15" s="2">
        <f>IF('[1]Dataset 1'!AA15="Less than 1 year",0.5, IF('[1]Dataset 1'!AA15="1-3 years",2, IF('[1]Dataset 1'!AA15="3-5 years",4, IF('[1]Dataset 1'!AA15="More than 5 years",6,""))))</f>
        <v>2</v>
      </c>
      <c r="C15" s="2">
        <f>IF('[1]Dataset 1'!AB15="10%-20%",15, IF('[1]Dataset 1'!AB15="20%-30%",25, IF('[1]Dataset 1'!AB15="30%-40%",35, IF('[1]Dataset 1'!AB15="40%-50%",45, IF('[1]Dataset 1'!AB15="Less than 10%",5,"")))))</f>
        <v>25</v>
      </c>
    </row>
    <row r="16" spans="1:8" x14ac:dyDescent="0.3">
      <c r="A16" s="2">
        <f>IF('[1]Dataset 1'!Z16="Male",1,0)</f>
        <v>0</v>
      </c>
      <c r="B16" s="2">
        <f>IF('[1]Dataset 1'!AA16="Less than 1 year",0.5, IF('[1]Dataset 1'!AA16="1-3 years",2, IF('[1]Dataset 1'!AA16="3-5 years",4, IF('[1]Dataset 1'!AA16="More than 5 years",6,""))))</f>
        <v>2</v>
      </c>
      <c r="C16" s="2">
        <f>IF('[1]Dataset 1'!AB16="10%-20%",15, IF('[1]Dataset 1'!AB16="20%-30%",25, IF('[1]Dataset 1'!AB16="30%-40%",35, IF('[1]Dataset 1'!AB16="40%-50%",45, IF('[1]Dataset 1'!AB16="Less than 10%",5,"")))))</f>
        <v>25</v>
      </c>
    </row>
    <row r="17" spans="1:3" x14ac:dyDescent="0.3">
      <c r="A17" s="2">
        <f>IF('[1]Dataset 1'!Z17="Male",1,0)</f>
        <v>1</v>
      </c>
      <c r="B17" s="2">
        <f>IF('[1]Dataset 1'!AA17="Less than 1 year",0.5, IF('[1]Dataset 1'!AA17="1-3 years",2, IF('[1]Dataset 1'!AA17="3-5 years",4, IF('[1]Dataset 1'!AA17="More than 5 years",6,""))))</f>
        <v>2</v>
      </c>
      <c r="C17" s="2">
        <f>IF('[1]Dataset 1'!AB17="10%-20%",15, IF('[1]Dataset 1'!AB17="20%-30%",25, IF('[1]Dataset 1'!AB17="30%-40%",35, IF('[1]Dataset 1'!AB17="40%-50%",45, IF('[1]Dataset 1'!AB17="Less than 10%",5,"")))))</f>
        <v>25</v>
      </c>
    </row>
    <row r="18" spans="1:3" x14ac:dyDescent="0.3">
      <c r="A18" s="2">
        <f>IF('[1]Dataset 1'!Z18="Male",1,0)</f>
        <v>0</v>
      </c>
      <c r="B18" s="2">
        <f>IF('[1]Dataset 1'!AA18="Less than 1 year",0.5, IF('[1]Dataset 1'!AA18="1-3 years",2, IF('[1]Dataset 1'!AA18="3-5 years",4, IF('[1]Dataset 1'!AA18="More than 5 years",6,""))))</f>
        <v>2</v>
      </c>
      <c r="C18" s="2">
        <f>IF('[1]Dataset 1'!AB18="10%-20%",15, IF('[1]Dataset 1'!AB18="20%-30%",25, IF('[1]Dataset 1'!AB18="30%-40%",35, IF('[1]Dataset 1'!AB18="40%-50%",45, IF('[1]Dataset 1'!AB18="Less than 10%",5,"")))))</f>
        <v>25</v>
      </c>
    </row>
    <row r="19" spans="1:3" x14ac:dyDescent="0.3">
      <c r="A19" s="2">
        <f>IF('[1]Dataset 1'!Z19="Male",1,0)</f>
        <v>1</v>
      </c>
      <c r="B19" s="2">
        <f>IF('[1]Dataset 1'!AA19="Less than 1 year",0.5, IF('[1]Dataset 1'!AA19="1-3 years",2, IF('[1]Dataset 1'!AA19="3-5 years",4, IF('[1]Dataset 1'!AA19="More than 5 years",6,""))))</f>
        <v>2</v>
      </c>
      <c r="C19" s="2">
        <f>IF('[1]Dataset 1'!AB19="10%-20%",15, IF('[1]Dataset 1'!AB19="20%-30%",25, IF('[1]Dataset 1'!AB19="30%-40%",35, IF('[1]Dataset 1'!AB19="40%-50%",45, IF('[1]Dataset 1'!AB19="Less than 10%",5,"")))))</f>
        <v>25</v>
      </c>
    </row>
    <row r="20" spans="1:3" x14ac:dyDescent="0.3">
      <c r="A20" s="2">
        <f>IF('[1]Dataset 1'!Z20="Male",1,0)</f>
        <v>1</v>
      </c>
      <c r="B20" s="2">
        <f>IF('[1]Dataset 1'!AA20="Less than 1 year",0.5, IF('[1]Dataset 1'!AA20="1-3 years",2, IF('[1]Dataset 1'!AA20="3-5 years",4, IF('[1]Dataset 1'!AA20="More than 5 years",6,""))))</f>
        <v>2</v>
      </c>
      <c r="C20" s="2">
        <f>IF('[1]Dataset 1'!AB20="10%-20%",15, IF('[1]Dataset 1'!AB20="20%-30%",25, IF('[1]Dataset 1'!AB20="30%-40%",35, IF('[1]Dataset 1'!AB20="40%-50%",45, IF('[1]Dataset 1'!AB20="Less than 10%",5,"")))))</f>
        <v>25</v>
      </c>
    </row>
    <row r="21" spans="1:3" x14ac:dyDescent="0.3">
      <c r="A21" s="2">
        <f>IF('[1]Dataset 1'!Z21="Male",1,0)</f>
        <v>1</v>
      </c>
      <c r="B21" s="2">
        <f>IF('[1]Dataset 1'!AA21="Less than 1 year",0.5, IF('[1]Dataset 1'!AA21="1-3 years",2, IF('[1]Dataset 1'!AA21="3-5 years",4, IF('[1]Dataset 1'!AA21="More than 5 years",6,""))))</f>
        <v>4</v>
      </c>
      <c r="C21" s="2">
        <f>IF('[1]Dataset 1'!AB21="10%-20%",15, IF('[1]Dataset 1'!AB21="20%-30%",25, IF('[1]Dataset 1'!AB21="30%-40%",35, IF('[1]Dataset 1'!AB21="40%-50%",45, IF('[1]Dataset 1'!AB21="Less than 10%",5,"")))))</f>
        <v>25</v>
      </c>
    </row>
    <row r="22" spans="1:3" x14ac:dyDescent="0.3">
      <c r="A22" s="2">
        <f>IF('[1]Dataset 1'!Z22="Male",1,0)</f>
        <v>1</v>
      </c>
      <c r="B22" s="2">
        <f>IF('[1]Dataset 1'!AA22="Less than 1 year",0.5, IF('[1]Dataset 1'!AA22="1-3 years",2, IF('[1]Dataset 1'!AA22="3-5 years",4, IF('[1]Dataset 1'!AA22="More than 5 years",6,""))))</f>
        <v>4</v>
      </c>
      <c r="C22" s="2">
        <f>IF('[1]Dataset 1'!AB22="10%-20%",15, IF('[1]Dataset 1'!AB22="20%-30%",25, IF('[1]Dataset 1'!AB22="30%-40%",35, IF('[1]Dataset 1'!AB22="40%-50%",45, IF('[1]Dataset 1'!AB22="Less than 10%",5,"")))))</f>
        <v>25</v>
      </c>
    </row>
    <row r="23" spans="1:3" x14ac:dyDescent="0.3">
      <c r="A23" s="2">
        <f>IF('[1]Dataset 1'!Z23="Male",1,0)</f>
        <v>0</v>
      </c>
      <c r="B23" s="2">
        <f>IF('[1]Dataset 1'!AA23="Less than 1 year",0.5, IF('[1]Dataset 1'!AA23="1-3 years",2, IF('[1]Dataset 1'!AA23="3-5 years",4, IF('[1]Dataset 1'!AA23="More than 5 years",6,""))))</f>
        <v>4</v>
      </c>
      <c r="C23" s="2">
        <f>IF('[1]Dataset 1'!AB23="10%-20%",15, IF('[1]Dataset 1'!AB23="20%-30%",25, IF('[1]Dataset 1'!AB23="30%-40%",35, IF('[1]Dataset 1'!AB23="40%-50%",45, IF('[1]Dataset 1'!AB23="Less than 10%",5,"")))))</f>
        <v>25</v>
      </c>
    </row>
    <row r="24" spans="1:3" x14ac:dyDescent="0.3">
      <c r="A24" s="2">
        <f>IF('[1]Dataset 1'!Z24="Male",1,0)</f>
        <v>1</v>
      </c>
      <c r="B24" s="2">
        <f>IF('[1]Dataset 1'!AA24="Less than 1 year",0.5, IF('[1]Dataset 1'!AA24="1-3 years",2, IF('[1]Dataset 1'!AA24="3-5 years",4, IF('[1]Dataset 1'!AA24="More than 5 years",6,""))))</f>
        <v>4</v>
      </c>
      <c r="C24" s="2">
        <f>IF('[1]Dataset 1'!AB24="10%-20%",15, IF('[1]Dataset 1'!AB24="20%-30%",25, IF('[1]Dataset 1'!AB24="30%-40%",35, IF('[1]Dataset 1'!AB24="40%-50%",45, IF('[1]Dataset 1'!AB24="Less than 10%",5,"")))))</f>
        <v>25</v>
      </c>
    </row>
    <row r="25" spans="1:3" x14ac:dyDescent="0.3">
      <c r="A25" s="2">
        <f>IF('[1]Dataset 1'!Z25="Male",1,0)</f>
        <v>1</v>
      </c>
      <c r="B25" s="2">
        <f>IF('[1]Dataset 1'!AA25="Less than 1 year",0.5, IF('[1]Dataset 1'!AA25="1-3 years",2, IF('[1]Dataset 1'!AA25="3-5 years",4, IF('[1]Dataset 1'!AA25="More than 5 years",6,""))))</f>
        <v>4</v>
      </c>
      <c r="C25" s="2">
        <f>IF('[1]Dataset 1'!AB25="10%-20%",15, IF('[1]Dataset 1'!AB25="20%-30%",25, IF('[1]Dataset 1'!AB25="30%-40%",35, IF('[1]Dataset 1'!AB25="40%-50%",45, IF('[1]Dataset 1'!AB25="Less than 10%",5,"")))))</f>
        <v>25</v>
      </c>
    </row>
    <row r="26" spans="1:3" x14ac:dyDescent="0.3">
      <c r="A26" s="2">
        <f>IF('[1]Dataset 1'!Z26="Male",1,0)</f>
        <v>0</v>
      </c>
      <c r="B26" s="2">
        <f>IF('[1]Dataset 1'!AA26="Less than 1 year",0.5, IF('[1]Dataset 1'!AA26="1-3 years",2, IF('[1]Dataset 1'!AA26="3-5 years",4, IF('[1]Dataset 1'!AA26="More than 5 years",6,""))))</f>
        <v>4</v>
      </c>
      <c r="C26" s="2">
        <f>IF('[1]Dataset 1'!AB26="10%-20%",15, IF('[1]Dataset 1'!AB26="20%-30%",25, IF('[1]Dataset 1'!AB26="30%-40%",35, IF('[1]Dataset 1'!AB26="40%-50%",45, IF('[1]Dataset 1'!AB26="Less than 10%",5,"")))))</f>
        <v>35</v>
      </c>
    </row>
    <row r="27" spans="1:3" x14ac:dyDescent="0.3">
      <c r="A27" s="2">
        <f>IF('[1]Dataset 1'!Z27="Male",1,0)</f>
        <v>0</v>
      </c>
      <c r="B27" s="2">
        <f>IF('[1]Dataset 1'!AA27="Less than 1 year",0.5, IF('[1]Dataset 1'!AA27="1-3 years",2, IF('[1]Dataset 1'!AA27="3-5 years",4, IF('[1]Dataset 1'!AA27="More than 5 years",6,""))))</f>
        <v>4</v>
      </c>
      <c r="C27" s="2">
        <f>IF('[1]Dataset 1'!AB27="10%-20%",15, IF('[1]Dataset 1'!AB27="20%-30%",25, IF('[1]Dataset 1'!AB27="30%-40%",35, IF('[1]Dataset 1'!AB27="40%-50%",45, IF('[1]Dataset 1'!AB27="Less than 10%",5,"")))))</f>
        <v>25</v>
      </c>
    </row>
    <row r="28" spans="1:3" x14ac:dyDescent="0.3">
      <c r="A28" s="2">
        <f>IF('[1]Dataset 1'!Z28="Male",1,0)</f>
        <v>1</v>
      </c>
      <c r="B28" s="2">
        <f>IF('[1]Dataset 1'!AA28="Less than 1 year",0.5, IF('[1]Dataset 1'!AA28="1-3 years",2, IF('[1]Dataset 1'!AA28="3-5 years",4, IF('[1]Dataset 1'!AA28="More than 5 years",6,""))))</f>
        <v>4</v>
      </c>
      <c r="C28" s="2">
        <f>IF('[1]Dataset 1'!AB28="10%-20%",15, IF('[1]Dataset 1'!AB28="20%-30%",25, IF('[1]Dataset 1'!AB28="30%-40%",35, IF('[1]Dataset 1'!AB28="40%-50%",45, IF('[1]Dataset 1'!AB28="Less than 10%",5,"")))))</f>
        <v>25</v>
      </c>
    </row>
    <row r="29" spans="1:3" x14ac:dyDescent="0.3">
      <c r="A29" s="2">
        <f>IF('[1]Dataset 1'!Z29="Male",1,0)</f>
        <v>1</v>
      </c>
      <c r="B29" s="2">
        <f>IF('[1]Dataset 1'!AA29="Less than 1 year",0.5, IF('[1]Dataset 1'!AA29="1-3 years",2, IF('[1]Dataset 1'!AA29="3-5 years",4, IF('[1]Dataset 1'!AA29="More than 5 years",6,""))))</f>
        <v>2</v>
      </c>
      <c r="C29" s="2">
        <f>IF('[1]Dataset 1'!AB29="10%-20%",15, IF('[1]Dataset 1'!AB29="20%-30%",25, IF('[1]Dataset 1'!AB29="30%-40%",35, IF('[1]Dataset 1'!AB29="40%-50%",45, IF('[1]Dataset 1'!AB29="Less than 10%",5,"")))))</f>
        <v>25</v>
      </c>
    </row>
    <row r="30" spans="1:3" x14ac:dyDescent="0.3">
      <c r="A30" s="2">
        <f>IF('[1]Dataset 1'!Z30="Male",1,0)</f>
        <v>1</v>
      </c>
      <c r="B30" s="2">
        <f>IF('[1]Dataset 1'!AA30="Less than 1 year",0.5, IF('[1]Dataset 1'!AA30="1-3 years",2, IF('[1]Dataset 1'!AA30="3-5 years",4, IF('[1]Dataset 1'!AA30="More than 5 years",6,""))))</f>
        <v>2</v>
      </c>
      <c r="C30" s="2">
        <f>IF('[1]Dataset 1'!AB30="10%-20%",15, IF('[1]Dataset 1'!AB30="20%-30%",25, IF('[1]Dataset 1'!AB30="30%-40%",35, IF('[1]Dataset 1'!AB30="40%-50%",45, IF('[1]Dataset 1'!AB30="Less than 10%",5,"")))))</f>
        <v>25</v>
      </c>
    </row>
    <row r="31" spans="1:3" x14ac:dyDescent="0.3">
      <c r="A31" s="2">
        <f>IF('[1]Dataset 1'!Z31="Male",1,0)</f>
        <v>0</v>
      </c>
      <c r="B31" s="2">
        <f>IF('[1]Dataset 1'!AA31="Less than 1 year",0.5, IF('[1]Dataset 1'!AA31="1-3 years",2, IF('[1]Dataset 1'!AA31="3-5 years",4, IF('[1]Dataset 1'!AA31="More than 5 years",6,""))))</f>
        <v>4</v>
      </c>
      <c r="C31" s="2">
        <f>IF('[1]Dataset 1'!AB31="10%-20%",15, IF('[1]Dataset 1'!AB31="20%-30%",25, IF('[1]Dataset 1'!AB31="30%-40%",35, IF('[1]Dataset 1'!AB31="40%-50%",45, IF('[1]Dataset 1'!AB31="Less than 10%",5,"")))))</f>
        <v>15</v>
      </c>
    </row>
    <row r="32" spans="1:3" x14ac:dyDescent="0.3">
      <c r="A32" s="2">
        <f>IF('[1]Dataset 1'!Z32="Male",1,0)</f>
        <v>1</v>
      </c>
      <c r="B32" s="2">
        <f>IF('[1]Dataset 1'!AA32="Less than 1 year",0.5, IF('[1]Dataset 1'!AA32="1-3 years",2, IF('[1]Dataset 1'!AA32="3-5 years",4, IF('[1]Dataset 1'!AA32="More than 5 years",6,""))))</f>
        <v>2</v>
      </c>
      <c r="C32" s="2">
        <f>IF('[1]Dataset 1'!AB32="10%-20%",15, IF('[1]Dataset 1'!AB32="20%-30%",25, IF('[1]Dataset 1'!AB32="30%-40%",35, IF('[1]Dataset 1'!AB32="40%-50%",45, IF('[1]Dataset 1'!AB32="Less than 10%",5,"")))))</f>
        <v>15</v>
      </c>
    </row>
    <row r="33" spans="1:3" x14ac:dyDescent="0.3">
      <c r="A33" s="2">
        <f>IF('[1]Dataset 1'!Z33="Male",1,0)</f>
        <v>0</v>
      </c>
      <c r="B33" s="2">
        <f>IF('[1]Dataset 1'!AA33="Less than 1 year",0.5, IF('[1]Dataset 1'!AA33="1-3 years",2, IF('[1]Dataset 1'!AA33="3-5 years",4, IF('[1]Dataset 1'!AA33="More than 5 years",6,""))))</f>
        <v>4</v>
      </c>
      <c r="C33" s="2">
        <f>IF('[1]Dataset 1'!AB33="10%-20%",15, IF('[1]Dataset 1'!AB33="20%-30%",25, IF('[1]Dataset 1'!AB33="30%-40%",35, IF('[1]Dataset 1'!AB33="40%-50%",45, IF('[1]Dataset 1'!AB33="Less than 10%",5,"")))))</f>
        <v>25</v>
      </c>
    </row>
    <row r="34" spans="1:3" x14ac:dyDescent="0.3">
      <c r="A34" s="2">
        <f>IF('[1]Dataset 1'!Z34="Male",1,0)</f>
        <v>1</v>
      </c>
      <c r="B34" s="2">
        <f>IF('[1]Dataset 1'!AA34="Less than 1 year",0.5, IF('[1]Dataset 1'!AA34="1-3 years",2, IF('[1]Dataset 1'!AA34="3-5 years",4, IF('[1]Dataset 1'!AA34="More than 5 years",6,""))))</f>
        <v>4</v>
      </c>
      <c r="C34" s="2">
        <f>IF('[1]Dataset 1'!AB34="10%-20%",15, IF('[1]Dataset 1'!AB34="20%-30%",25, IF('[1]Dataset 1'!AB34="30%-40%",35, IF('[1]Dataset 1'!AB34="40%-50%",45, IF('[1]Dataset 1'!AB34="Less than 10%",5,"")))))</f>
        <v>35</v>
      </c>
    </row>
    <row r="35" spans="1:3" x14ac:dyDescent="0.3">
      <c r="A35" s="2">
        <f>IF('[1]Dataset 1'!Z35="Male",1,0)</f>
        <v>1</v>
      </c>
      <c r="B35" s="2">
        <f>IF('[1]Dataset 1'!AA35="Less than 1 year",0.5, IF('[1]Dataset 1'!AA35="1-3 years",2, IF('[1]Dataset 1'!AA35="3-5 years",4, IF('[1]Dataset 1'!AA35="More than 5 years",6,""))))</f>
        <v>2</v>
      </c>
      <c r="C35" s="2">
        <f>IF('[1]Dataset 1'!AB35="10%-20%",15, IF('[1]Dataset 1'!AB35="20%-30%",25, IF('[1]Dataset 1'!AB35="30%-40%",35, IF('[1]Dataset 1'!AB35="40%-50%",45, IF('[1]Dataset 1'!AB35="Less than 10%",5,"")))))</f>
        <v>25</v>
      </c>
    </row>
    <row r="36" spans="1:3" x14ac:dyDescent="0.3">
      <c r="A36" s="2">
        <f>IF('[1]Dataset 1'!Z36="Male",1,0)</f>
        <v>1</v>
      </c>
      <c r="B36" s="2">
        <f>IF('[1]Dataset 1'!AA36="Less than 1 year",0.5, IF('[1]Dataset 1'!AA36="1-3 years",2, IF('[1]Dataset 1'!AA36="3-5 years",4, IF('[1]Dataset 1'!AA36="More than 5 years",6,""))))</f>
        <v>2</v>
      </c>
      <c r="C36" s="2">
        <f>IF('[1]Dataset 1'!AB36="10%-20%",15, IF('[1]Dataset 1'!AB36="20%-30%",25, IF('[1]Dataset 1'!AB36="30%-40%",35, IF('[1]Dataset 1'!AB36="40%-50%",45, IF('[1]Dataset 1'!AB36="Less than 10%",5,"")))))</f>
        <v>25</v>
      </c>
    </row>
    <row r="37" spans="1:3" x14ac:dyDescent="0.3">
      <c r="A37" s="2">
        <f>IF('[1]Dataset 1'!Z37="Male",1,0)</f>
        <v>1</v>
      </c>
      <c r="B37" s="2">
        <f>IF('[1]Dataset 1'!AA37="Less than 1 year",0.5, IF('[1]Dataset 1'!AA37="1-3 years",2, IF('[1]Dataset 1'!AA37="3-5 years",4, IF('[1]Dataset 1'!AA37="More than 5 years",6,""))))</f>
        <v>4</v>
      </c>
      <c r="C37" s="2">
        <f>IF('[1]Dataset 1'!AB37="10%-20%",15, IF('[1]Dataset 1'!AB37="20%-30%",25, IF('[1]Dataset 1'!AB37="30%-40%",35, IF('[1]Dataset 1'!AB37="40%-50%",45, IF('[1]Dataset 1'!AB37="Less than 10%",5,"")))))</f>
        <v>25</v>
      </c>
    </row>
    <row r="38" spans="1:3" x14ac:dyDescent="0.3">
      <c r="A38" s="2">
        <f>IF('[1]Dataset 1'!Z38="Male",1,0)</f>
        <v>1</v>
      </c>
      <c r="B38" s="2">
        <f>IF('[1]Dataset 1'!AA38="Less than 1 year",0.5, IF('[1]Dataset 1'!AA38="1-3 years",2, IF('[1]Dataset 1'!AA38="3-5 years",4, IF('[1]Dataset 1'!AA38="More than 5 years",6,""))))</f>
        <v>2</v>
      </c>
      <c r="C38" s="2">
        <f>IF('[1]Dataset 1'!AB38="10%-20%",15, IF('[1]Dataset 1'!AB38="20%-30%",25, IF('[1]Dataset 1'!AB38="30%-40%",35, IF('[1]Dataset 1'!AB38="40%-50%",45, IF('[1]Dataset 1'!AB38="Less than 10%",5,"")))))</f>
        <v>25</v>
      </c>
    </row>
    <row r="39" spans="1:3" x14ac:dyDescent="0.3">
      <c r="A39" s="2">
        <f>IF('[1]Dataset 1'!Z39="Male",1,0)</f>
        <v>1</v>
      </c>
      <c r="B39" s="2">
        <f>IF('[1]Dataset 1'!AA39="Less than 1 year",0.5, IF('[1]Dataset 1'!AA39="1-3 years",2, IF('[1]Dataset 1'!AA39="3-5 years",4, IF('[1]Dataset 1'!AA39="More than 5 years",6,""))))</f>
        <v>4</v>
      </c>
      <c r="C39" s="2">
        <f>IF('[1]Dataset 1'!AB39="10%-20%",15, IF('[1]Dataset 1'!AB39="20%-30%",25, IF('[1]Dataset 1'!AB39="30%-40%",35, IF('[1]Dataset 1'!AB39="40%-50%",45, IF('[1]Dataset 1'!AB39="Less than 10%",5,"")))))</f>
        <v>35</v>
      </c>
    </row>
    <row r="40" spans="1:3" x14ac:dyDescent="0.3">
      <c r="A40" s="2">
        <f>IF('[1]Dataset 1'!Z40="Male",1,0)</f>
        <v>1</v>
      </c>
      <c r="B40" s="2">
        <f>IF('[1]Dataset 1'!AA40="Less than 1 year",0.5, IF('[1]Dataset 1'!AA40="1-3 years",2, IF('[1]Dataset 1'!AA40="3-5 years",4, IF('[1]Dataset 1'!AA40="More than 5 years",6,""))))</f>
        <v>2</v>
      </c>
      <c r="C40" s="2">
        <f>IF('[1]Dataset 1'!AB40="10%-20%",15, IF('[1]Dataset 1'!AB40="20%-30%",25, IF('[1]Dataset 1'!AB40="30%-40%",35, IF('[1]Dataset 1'!AB40="40%-50%",45, IF('[1]Dataset 1'!AB40="Less than 10%",5,"")))))</f>
        <v>25</v>
      </c>
    </row>
    <row r="41" spans="1:3" x14ac:dyDescent="0.3">
      <c r="A41" s="2">
        <f>IF('[1]Dataset 1'!Z41="Male",1,0)</f>
        <v>1</v>
      </c>
      <c r="B41" s="2">
        <f>IF('[1]Dataset 1'!AA41="Less than 1 year",0.5, IF('[1]Dataset 1'!AA41="1-3 years",2, IF('[1]Dataset 1'!AA41="3-5 years",4, IF('[1]Dataset 1'!AA41="More than 5 years",6,""))))</f>
        <v>4</v>
      </c>
      <c r="C41" s="2">
        <f>IF('[1]Dataset 1'!AB41="10%-20%",15, IF('[1]Dataset 1'!AB41="20%-30%",25, IF('[1]Dataset 1'!AB41="30%-40%",35, IF('[1]Dataset 1'!AB41="40%-50%",45, IF('[1]Dataset 1'!AB41="Less than 10%",5,"")))))</f>
        <v>25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7658-0EA5-4E81-9580-ECD305171AB6}">
  <dimension ref="A1:C41"/>
  <sheetViews>
    <sheetView workbookViewId="0">
      <selection activeCell="M29" sqref="M29"/>
    </sheetView>
  </sheetViews>
  <sheetFormatPr defaultRowHeight="14.4" x14ac:dyDescent="0.3"/>
  <sheetData>
    <row r="1" spans="1:3" x14ac:dyDescent="0.3">
      <c r="A1" s="8" t="s">
        <v>83</v>
      </c>
      <c r="B1" s="8" t="s">
        <v>16</v>
      </c>
      <c r="C1" s="8" t="s">
        <v>18</v>
      </c>
    </row>
    <row r="2" spans="1:3" x14ac:dyDescent="0.3">
      <c r="A2" s="2">
        <f>IF('[1]Dataset 1'!Z2="Male",1,0)</f>
        <v>0</v>
      </c>
      <c r="B2" s="2">
        <f>IF('[1]Dataset 1'!AA2="Less than 1 year",0.5, IF('[1]Dataset 1'!AA2="1-3 years",2, IF('[1]Dataset 1'!AA2="3-5 years",4, IF('[1]Dataset 1'!AA2="More than 5 years",6,""))))</f>
        <v>2</v>
      </c>
      <c r="C2" s="2">
        <f>IF('[1]Dataset 1'!AB2="10%-20%",15, IF('[1]Dataset 1'!AB2="20%-30%",25, IF('[1]Dataset 1'!AB2="30%-40%",35, IF('[1]Dataset 1'!AB2="40%-50%",45, IF('[1]Dataset 1'!AB2="Less than 10%",5,"")))))</f>
        <v>25</v>
      </c>
    </row>
    <row r="3" spans="1:3" x14ac:dyDescent="0.3">
      <c r="A3" s="2">
        <f>IF('[1]Dataset 1'!Z3="Male",1,0)</f>
        <v>0</v>
      </c>
      <c r="B3" s="2">
        <f>IF('[1]Dataset 1'!AA3="Less than 1 year",0.5, IF('[1]Dataset 1'!AA3="1-3 years",2, IF('[1]Dataset 1'!AA3="3-5 years",4, IF('[1]Dataset 1'!AA3="More than 5 years",6,""))))</f>
        <v>6</v>
      </c>
      <c r="C3" s="2">
        <f>IF('[1]Dataset 1'!AB3="10%-20%",15, IF('[1]Dataset 1'!AB3="20%-30%",25, IF('[1]Dataset 1'!AB3="30%-40%",35, IF('[1]Dataset 1'!AB3="40%-50%",45, IF('[1]Dataset 1'!AB3="Less than 10%",5,"")))))</f>
        <v>25</v>
      </c>
    </row>
    <row r="4" spans="1:3" x14ac:dyDescent="0.3">
      <c r="A4" s="2">
        <f>IF('[1]Dataset 1'!Z4="Male",1,0)</f>
        <v>1</v>
      </c>
      <c r="B4" s="2">
        <f>IF('[1]Dataset 1'!AA4="Less than 1 year",0.5, IF('[1]Dataset 1'!AA4="1-3 years",2, IF('[1]Dataset 1'!AA4="3-5 years",4, IF('[1]Dataset 1'!AA4="More than 5 years",6,""))))</f>
        <v>4</v>
      </c>
      <c r="C4" s="2">
        <f>IF('[1]Dataset 1'!AB4="10%-20%",15, IF('[1]Dataset 1'!AB4="20%-30%",25, IF('[1]Dataset 1'!AB4="30%-40%",35, IF('[1]Dataset 1'!AB4="40%-50%",45, IF('[1]Dataset 1'!AB4="Less than 10%",5,"")))))</f>
        <v>25</v>
      </c>
    </row>
    <row r="5" spans="1:3" x14ac:dyDescent="0.3">
      <c r="A5" s="2">
        <f>IF('[1]Dataset 1'!Z5="Male",1,0)</f>
        <v>1</v>
      </c>
      <c r="B5" s="2">
        <f>IF('[1]Dataset 1'!AA5="Less than 1 year",0.5, IF('[1]Dataset 1'!AA5="1-3 years",2, IF('[1]Dataset 1'!AA5="3-5 years",4, IF('[1]Dataset 1'!AA5="More than 5 years",6,""))))</f>
        <v>0.5</v>
      </c>
      <c r="C5" s="2">
        <f>IF('[1]Dataset 1'!AB5="10%-20%",15, IF('[1]Dataset 1'!AB5="20%-30%",25, IF('[1]Dataset 1'!AB5="30%-40%",35, IF('[1]Dataset 1'!AB5="40%-50%",45, IF('[1]Dataset 1'!AB5="Less than 10%",5,"")))))</f>
        <v>15</v>
      </c>
    </row>
    <row r="6" spans="1:3" x14ac:dyDescent="0.3">
      <c r="A6" s="2">
        <f>IF('[1]Dataset 1'!Z6="Male",1,0)</f>
        <v>0</v>
      </c>
      <c r="B6" s="2">
        <f>IF('[1]Dataset 1'!AA6="Less than 1 year",0.5, IF('[1]Dataset 1'!AA6="1-3 years",2, IF('[1]Dataset 1'!AA6="3-5 years",4, IF('[1]Dataset 1'!AA6="More than 5 years",6,""))))</f>
        <v>0.5</v>
      </c>
      <c r="C6" s="2">
        <f>IF('[1]Dataset 1'!AB6="10%-20%",15, IF('[1]Dataset 1'!AB6="20%-30%",25, IF('[1]Dataset 1'!AB6="30%-40%",35, IF('[1]Dataset 1'!AB6="40%-50%",45, IF('[1]Dataset 1'!AB6="Less than 10%",5,"")))))</f>
        <v>25</v>
      </c>
    </row>
    <row r="7" spans="1:3" x14ac:dyDescent="0.3">
      <c r="A7" s="2">
        <f>IF('[1]Dataset 1'!Z7="Male",1,0)</f>
        <v>0</v>
      </c>
      <c r="B7" s="2">
        <f>IF('[1]Dataset 1'!AA7="Less than 1 year",0.5, IF('[1]Dataset 1'!AA7="1-3 years",2, IF('[1]Dataset 1'!AA7="3-5 years",4, IF('[1]Dataset 1'!AA7="More than 5 years",6,""))))</f>
        <v>2</v>
      </c>
      <c r="C7" s="2">
        <f>IF('[1]Dataset 1'!AB7="10%-20%",15, IF('[1]Dataset 1'!AB7="20%-30%",25, IF('[1]Dataset 1'!AB7="30%-40%",35, IF('[1]Dataset 1'!AB7="40%-50%",45, IF('[1]Dataset 1'!AB7="Less than 10%",5,"")))))</f>
        <v>35</v>
      </c>
    </row>
    <row r="8" spans="1:3" x14ac:dyDescent="0.3">
      <c r="A8" s="2">
        <f>IF('[1]Dataset 1'!Z8="Male",1,0)</f>
        <v>0</v>
      </c>
      <c r="B8" s="2">
        <f>IF('[1]Dataset 1'!AA8="Less than 1 year",0.5, IF('[1]Dataset 1'!AA8="1-3 years",2, IF('[1]Dataset 1'!AA8="3-5 years",4, IF('[1]Dataset 1'!AA8="More than 5 years",6,""))))</f>
        <v>4</v>
      </c>
      <c r="C8" s="2">
        <f>IF('[1]Dataset 1'!AB8="10%-20%",15, IF('[1]Dataset 1'!AB8="20%-30%",25, IF('[1]Dataset 1'!AB8="30%-40%",35, IF('[1]Dataset 1'!AB8="40%-50%",45, IF('[1]Dataset 1'!AB8="Less than 10%",5,"")))))</f>
        <v>25</v>
      </c>
    </row>
    <row r="9" spans="1:3" x14ac:dyDescent="0.3">
      <c r="A9" s="2">
        <f>IF('[1]Dataset 1'!Z9="Male",1,0)</f>
        <v>1</v>
      </c>
      <c r="B9" s="2">
        <f>IF('[1]Dataset 1'!AA9="Less than 1 year",0.5, IF('[1]Dataset 1'!AA9="1-3 years",2, IF('[1]Dataset 1'!AA9="3-5 years",4, IF('[1]Dataset 1'!AA9="More than 5 years",6,""))))</f>
        <v>4</v>
      </c>
      <c r="C9" s="2">
        <f>IF('[1]Dataset 1'!AB9="10%-20%",15, IF('[1]Dataset 1'!AB9="20%-30%",25, IF('[1]Dataset 1'!AB9="30%-40%",35, IF('[1]Dataset 1'!AB9="40%-50%",45, IF('[1]Dataset 1'!AB9="Less than 10%",5,"")))))</f>
        <v>25</v>
      </c>
    </row>
    <row r="10" spans="1:3" x14ac:dyDescent="0.3">
      <c r="A10" s="2">
        <f>IF('[1]Dataset 1'!Z10="Male",1,0)</f>
        <v>1</v>
      </c>
      <c r="B10" s="2">
        <f>IF('[1]Dataset 1'!AA10="Less than 1 year",0.5, IF('[1]Dataset 1'!AA10="1-3 years",2, IF('[1]Dataset 1'!AA10="3-5 years",4, IF('[1]Dataset 1'!AA10="More than 5 years",6,""))))</f>
        <v>2</v>
      </c>
      <c r="C10" s="2">
        <f>IF('[1]Dataset 1'!AB10="10%-20%",15, IF('[1]Dataset 1'!AB10="20%-30%",25, IF('[1]Dataset 1'!AB10="30%-40%",35, IF('[1]Dataset 1'!AB10="40%-50%",45, IF('[1]Dataset 1'!AB10="Less than 10%",5,"")))))</f>
        <v>25</v>
      </c>
    </row>
    <row r="11" spans="1:3" x14ac:dyDescent="0.3">
      <c r="A11" s="2">
        <f>IF('[1]Dataset 1'!Z11="Male",1,0)</f>
        <v>1</v>
      </c>
      <c r="B11" s="2">
        <f>IF('[1]Dataset 1'!AA11="Less than 1 year",0.5, IF('[1]Dataset 1'!AA11="1-3 years",2, IF('[1]Dataset 1'!AA11="3-5 years",4, IF('[1]Dataset 1'!AA11="More than 5 years",6,""))))</f>
        <v>4</v>
      </c>
      <c r="C11" s="2">
        <f>IF('[1]Dataset 1'!AB11="10%-20%",15, IF('[1]Dataset 1'!AB11="20%-30%",25, IF('[1]Dataset 1'!AB11="30%-40%",35, IF('[1]Dataset 1'!AB11="40%-50%",45, IF('[1]Dataset 1'!AB11="Less than 10%",5,"")))))</f>
        <v>35</v>
      </c>
    </row>
    <row r="12" spans="1:3" x14ac:dyDescent="0.3">
      <c r="A12" s="2">
        <f>IF('[1]Dataset 1'!Z12="Male",1,0)</f>
        <v>0</v>
      </c>
      <c r="B12" s="2">
        <f>IF('[1]Dataset 1'!AA12="Less than 1 year",0.5, IF('[1]Dataset 1'!AA12="1-3 years",2, IF('[1]Dataset 1'!AA12="3-5 years",4, IF('[1]Dataset 1'!AA12="More than 5 years",6,""))))</f>
        <v>4</v>
      </c>
      <c r="C12" s="2">
        <f>IF('[1]Dataset 1'!AB12="10%-20%",15, IF('[1]Dataset 1'!AB12="20%-30%",25, IF('[1]Dataset 1'!AB12="30%-40%",35, IF('[1]Dataset 1'!AB12="40%-50%",45, IF('[1]Dataset 1'!AB12="Less than 10%",5,"")))))</f>
        <v>25</v>
      </c>
    </row>
    <row r="13" spans="1:3" x14ac:dyDescent="0.3">
      <c r="A13" s="2">
        <f>IF('[1]Dataset 1'!Z13="Male",1,0)</f>
        <v>1</v>
      </c>
      <c r="B13" s="2">
        <f>IF('[1]Dataset 1'!AA13="Less than 1 year",0.5, IF('[1]Dataset 1'!AA13="1-3 years",2, IF('[1]Dataset 1'!AA13="3-5 years",4, IF('[1]Dataset 1'!AA13="More than 5 years",6,""))))</f>
        <v>2</v>
      </c>
      <c r="C13" s="2">
        <f>IF('[1]Dataset 1'!AB13="10%-20%",15, IF('[1]Dataset 1'!AB13="20%-30%",25, IF('[1]Dataset 1'!AB13="30%-40%",35, IF('[1]Dataset 1'!AB13="40%-50%",45, IF('[1]Dataset 1'!AB13="Less than 10%",5,"")))))</f>
        <v>25</v>
      </c>
    </row>
    <row r="14" spans="1:3" x14ac:dyDescent="0.3">
      <c r="A14" s="2">
        <f>IF('[1]Dataset 1'!Z14="Male",1,0)</f>
        <v>0</v>
      </c>
      <c r="B14" s="2">
        <f>IF('[1]Dataset 1'!AA14="Less than 1 year",0.5, IF('[1]Dataset 1'!AA14="1-3 years",2, IF('[1]Dataset 1'!AA14="3-5 years",4, IF('[1]Dataset 1'!AA14="More than 5 years",6,""))))</f>
        <v>2</v>
      </c>
      <c r="C14" s="2">
        <f>IF('[1]Dataset 1'!AB14="10%-20%",15, IF('[1]Dataset 1'!AB14="20%-30%",25, IF('[1]Dataset 1'!AB14="30%-40%",35, IF('[1]Dataset 1'!AB14="40%-50%",45, IF('[1]Dataset 1'!AB14="Less than 10%",5,"")))))</f>
        <v>25</v>
      </c>
    </row>
    <row r="15" spans="1:3" x14ac:dyDescent="0.3">
      <c r="A15" s="2">
        <f>IF('[1]Dataset 1'!Z15="Male",1,0)</f>
        <v>0</v>
      </c>
      <c r="B15" s="2">
        <f>IF('[1]Dataset 1'!AA15="Less than 1 year",0.5, IF('[1]Dataset 1'!AA15="1-3 years",2, IF('[1]Dataset 1'!AA15="3-5 years",4, IF('[1]Dataset 1'!AA15="More than 5 years",6,""))))</f>
        <v>2</v>
      </c>
      <c r="C15" s="2">
        <f>IF('[1]Dataset 1'!AB15="10%-20%",15, IF('[1]Dataset 1'!AB15="20%-30%",25, IF('[1]Dataset 1'!AB15="30%-40%",35, IF('[1]Dataset 1'!AB15="40%-50%",45, IF('[1]Dataset 1'!AB15="Less than 10%",5,"")))))</f>
        <v>25</v>
      </c>
    </row>
    <row r="16" spans="1:3" x14ac:dyDescent="0.3">
      <c r="A16" s="2">
        <f>IF('[1]Dataset 1'!Z16="Male",1,0)</f>
        <v>0</v>
      </c>
      <c r="B16" s="2">
        <f>IF('[1]Dataset 1'!AA16="Less than 1 year",0.5, IF('[1]Dataset 1'!AA16="1-3 years",2, IF('[1]Dataset 1'!AA16="3-5 years",4, IF('[1]Dataset 1'!AA16="More than 5 years",6,""))))</f>
        <v>2</v>
      </c>
      <c r="C16" s="2">
        <f>IF('[1]Dataset 1'!AB16="10%-20%",15, IF('[1]Dataset 1'!AB16="20%-30%",25, IF('[1]Dataset 1'!AB16="30%-40%",35, IF('[1]Dataset 1'!AB16="40%-50%",45, IF('[1]Dataset 1'!AB16="Less than 10%",5,"")))))</f>
        <v>25</v>
      </c>
    </row>
    <row r="17" spans="1:3" x14ac:dyDescent="0.3">
      <c r="A17" s="2">
        <f>IF('[1]Dataset 1'!Z17="Male",1,0)</f>
        <v>1</v>
      </c>
      <c r="B17" s="2">
        <f>IF('[1]Dataset 1'!AA17="Less than 1 year",0.5, IF('[1]Dataset 1'!AA17="1-3 years",2, IF('[1]Dataset 1'!AA17="3-5 years",4, IF('[1]Dataset 1'!AA17="More than 5 years",6,""))))</f>
        <v>2</v>
      </c>
      <c r="C17" s="2">
        <f>IF('[1]Dataset 1'!AB17="10%-20%",15, IF('[1]Dataset 1'!AB17="20%-30%",25, IF('[1]Dataset 1'!AB17="30%-40%",35, IF('[1]Dataset 1'!AB17="40%-50%",45, IF('[1]Dataset 1'!AB17="Less than 10%",5,"")))))</f>
        <v>25</v>
      </c>
    </row>
    <row r="18" spans="1:3" x14ac:dyDescent="0.3">
      <c r="A18" s="2">
        <f>IF('[1]Dataset 1'!Z18="Male",1,0)</f>
        <v>0</v>
      </c>
      <c r="B18" s="2">
        <f>IF('[1]Dataset 1'!AA18="Less than 1 year",0.5, IF('[1]Dataset 1'!AA18="1-3 years",2, IF('[1]Dataset 1'!AA18="3-5 years",4, IF('[1]Dataset 1'!AA18="More than 5 years",6,""))))</f>
        <v>2</v>
      </c>
      <c r="C18" s="2">
        <f>IF('[1]Dataset 1'!AB18="10%-20%",15, IF('[1]Dataset 1'!AB18="20%-30%",25, IF('[1]Dataset 1'!AB18="30%-40%",35, IF('[1]Dataset 1'!AB18="40%-50%",45, IF('[1]Dataset 1'!AB18="Less than 10%",5,"")))))</f>
        <v>25</v>
      </c>
    </row>
    <row r="19" spans="1:3" x14ac:dyDescent="0.3">
      <c r="A19" s="2">
        <f>IF('[1]Dataset 1'!Z19="Male",1,0)</f>
        <v>1</v>
      </c>
      <c r="B19" s="2">
        <f>IF('[1]Dataset 1'!AA19="Less than 1 year",0.5, IF('[1]Dataset 1'!AA19="1-3 years",2, IF('[1]Dataset 1'!AA19="3-5 years",4, IF('[1]Dataset 1'!AA19="More than 5 years",6,""))))</f>
        <v>2</v>
      </c>
      <c r="C19" s="2">
        <f>IF('[1]Dataset 1'!AB19="10%-20%",15, IF('[1]Dataset 1'!AB19="20%-30%",25, IF('[1]Dataset 1'!AB19="30%-40%",35, IF('[1]Dataset 1'!AB19="40%-50%",45, IF('[1]Dataset 1'!AB19="Less than 10%",5,"")))))</f>
        <v>25</v>
      </c>
    </row>
    <row r="20" spans="1:3" x14ac:dyDescent="0.3">
      <c r="A20" s="2">
        <f>IF('[1]Dataset 1'!Z20="Male",1,0)</f>
        <v>1</v>
      </c>
      <c r="B20" s="2">
        <f>IF('[1]Dataset 1'!AA20="Less than 1 year",0.5, IF('[1]Dataset 1'!AA20="1-3 years",2, IF('[1]Dataset 1'!AA20="3-5 years",4, IF('[1]Dataset 1'!AA20="More than 5 years",6,""))))</f>
        <v>2</v>
      </c>
      <c r="C20" s="2">
        <f>IF('[1]Dataset 1'!AB20="10%-20%",15, IF('[1]Dataset 1'!AB20="20%-30%",25, IF('[1]Dataset 1'!AB20="30%-40%",35, IF('[1]Dataset 1'!AB20="40%-50%",45, IF('[1]Dataset 1'!AB20="Less than 10%",5,"")))))</f>
        <v>25</v>
      </c>
    </row>
    <row r="21" spans="1:3" x14ac:dyDescent="0.3">
      <c r="A21" s="2">
        <f>IF('[1]Dataset 1'!Z21="Male",1,0)</f>
        <v>1</v>
      </c>
      <c r="B21" s="2">
        <f>IF('[1]Dataset 1'!AA21="Less than 1 year",0.5, IF('[1]Dataset 1'!AA21="1-3 years",2, IF('[1]Dataset 1'!AA21="3-5 years",4, IF('[1]Dataset 1'!AA21="More than 5 years",6,""))))</f>
        <v>4</v>
      </c>
      <c r="C21" s="2">
        <f>IF('[1]Dataset 1'!AB21="10%-20%",15, IF('[1]Dataset 1'!AB21="20%-30%",25, IF('[1]Dataset 1'!AB21="30%-40%",35, IF('[1]Dataset 1'!AB21="40%-50%",45, IF('[1]Dataset 1'!AB21="Less than 10%",5,"")))))</f>
        <v>25</v>
      </c>
    </row>
    <row r="22" spans="1:3" x14ac:dyDescent="0.3">
      <c r="A22" s="2">
        <f>IF('[1]Dataset 1'!Z22="Male",1,0)</f>
        <v>1</v>
      </c>
      <c r="B22" s="2">
        <f>IF('[1]Dataset 1'!AA22="Less than 1 year",0.5, IF('[1]Dataset 1'!AA22="1-3 years",2, IF('[1]Dataset 1'!AA22="3-5 years",4, IF('[1]Dataset 1'!AA22="More than 5 years",6,""))))</f>
        <v>4</v>
      </c>
      <c r="C22" s="2">
        <f>IF('[1]Dataset 1'!AB22="10%-20%",15, IF('[1]Dataset 1'!AB22="20%-30%",25, IF('[1]Dataset 1'!AB22="30%-40%",35, IF('[1]Dataset 1'!AB22="40%-50%",45, IF('[1]Dataset 1'!AB22="Less than 10%",5,"")))))</f>
        <v>25</v>
      </c>
    </row>
    <row r="23" spans="1:3" x14ac:dyDescent="0.3">
      <c r="A23" s="2">
        <f>IF('[1]Dataset 1'!Z23="Male",1,0)</f>
        <v>0</v>
      </c>
      <c r="B23" s="2">
        <f>IF('[1]Dataset 1'!AA23="Less than 1 year",0.5, IF('[1]Dataset 1'!AA23="1-3 years",2, IF('[1]Dataset 1'!AA23="3-5 years",4, IF('[1]Dataset 1'!AA23="More than 5 years",6,""))))</f>
        <v>4</v>
      </c>
      <c r="C23" s="2">
        <f>IF('[1]Dataset 1'!AB23="10%-20%",15, IF('[1]Dataset 1'!AB23="20%-30%",25, IF('[1]Dataset 1'!AB23="30%-40%",35, IF('[1]Dataset 1'!AB23="40%-50%",45, IF('[1]Dataset 1'!AB23="Less than 10%",5,"")))))</f>
        <v>25</v>
      </c>
    </row>
    <row r="24" spans="1:3" x14ac:dyDescent="0.3">
      <c r="A24" s="2">
        <f>IF('[1]Dataset 1'!Z24="Male",1,0)</f>
        <v>1</v>
      </c>
      <c r="B24" s="2">
        <f>IF('[1]Dataset 1'!AA24="Less than 1 year",0.5, IF('[1]Dataset 1'!AA24="1-3 years",2, IF('[1]Dataset 1'!AA24="3-5 years",4, IF('[1]Dataset 1'!AA24="More than 5 years",6,""))))</f>
        <v>4</v>
      </c>
      <c r="C24" s="2">
        <f>IF('[1]Dataset 1'!AB24="10%-20%",15, IF('[1]Dataset 1'!AB24="20%-30%",25, IF('[1]Dataset 1'!AB24="30%-40%",35, IF('[1]Dataset 1'!AB24="40%-50%",45, IF('[1]Dataset 1'!AB24="Less than 10%",5,"")))))</f>
        <v>25</v>
      </c>
    </row>
    <row r="25" spans="1:3" x14ac:dyDescent="0.3">
      <c r="A25" s="2">
        <f>IF('[1]Dataset 1'!Z25="Male",1,0)</f>
        <v>1</v>
      </c>
      <c r="B25" s="2">
        <f>IF('[1]Dataset 1'!AA25="Less than 1 year",0.5, IF('[1]Dataset 1'!AA25="1-3 years",2, IF('[1]Dataset 1'!AA25="3-5 years",4, IF('[1]Dataset 1'!AA25="More than 5 years",6,""))))</f>
        <v>4</v>
      </c>
      <c r="C25" s="2">
        <f>IF('[1]Dataset 1'!AB25="10%-20%",15, IF('[1]Dataset 1'!AB25="20%-30%",25, IF('[1]Dataset 1'!AB25="30%-40%",35, IF('[1]Dataset 1'!AB25="40%-50%",45, IF('[1]Dataset 1'!AB25="Less than 10%",5,"")))))</f>
        <v>25</v>
      </c>
    </row>
    <row r="26" spans="1:3" x14ac:dyDescent="0.3">
      <c r="A26" s="2">
        <f>IF('[1]Dataset 1'!Z26="Male",1,0)</f>
        <v>0</v>
      </c>
      <c r="B26" s="2">
        <f>IF('[1]Dataset 1'!AA26="Less than 1 year",0.5, IF('[1]Dataset 1'!AA26="1-3 years",2, IF('[1]Dataset 1'!AA26="3-5 years",4, IF('[1]Dataset 1'!AA26="More than 5 years",6,""))))</f>
        <v>4</v>
      </c>
      <c r="C26" s="2">
        <f>IF('[1]Dataset 1'!AB26="10%-20%",15, IF('[1]Dataset 1'!AB26="20%-30%",25, IF('[1]Dataset 1'!AB26="30%-40%",35, IF('[1]Dataset 1'!AB26="40%-50%",45, IF('[1]Dataset 1'!AB26="Less than 10%",5,"")))))</f>
        <v>35</v>
      </c>
    </row>
    <row r="27" spans="1:3" x14ac:dyDescent="0.3">
      <c r="A27" s="2">
        <f>IF('[1]Dataset 1'!Z27="Male",1,0)</f>
        <v>0</v>
      </c>
      <c r="B27" s="2">
        <f>IF('[1]Dataset 1'!AA27="Less than 1 year",0.5, IF('[1]Dataset 1'!AA27="1-3 years",2, IF('[1]Dataset 1'!AA27="3-5 years",4, IF('[1]Dataset 1'!AA27="More than 5 years",6,""))))</f>
        <v>4</v>
      </c>
      <c r="C27" s="2">
        <f>IF('[1]Dataset 1'!AB27="10%-20%",15, IF('[1]Dataset 1'!AB27="20%-30%",25, IF('[1]Dataset 1'!AB27="30%-40%",35, IF('[1]Dataset 1'!AB27="40%-50%",45, IF('[1]Dataset 1'!AB27="Less than 10%",5,"")))))</f>
        <v>25</v>
      </c>
    </row>
    <row r="28" spans="1:3" x14ac:dyDescent="0.3">
      <c r="A28" s="2">
        <f>IF('[1]Dataset 1'!Z28="Male",1,0)</f>
        <v>1</v>
      </c>
      <c r="B28" s="2">
        <f>IF('[1]Dataset 1'!AA28="Less than 1 year",0.5, IF('[1]Dataset 1'!AA28="1-3 years",2, IF('[1]Dataset 1'!AA28="3-5 years",4, IF('[1]Dataset 1'!AA28="More than 5 years",6,""))))</f>
        <v>4</v>
      </c>
      <c r="C28" s="2">
        <f>IF('[1]Dataset 1'!AB28="10%-20%",15, IF('[1]Dataset 1'!AB28="20%-30%",25, IF('[1]Dataset 1'!AB28="30%-40%",35, IF('[1]Dataset 1'!AB28="40%-50%",45, IF('[1]Dataset 1'!AB28="Less than 10%",5,"")))))</f>
        <v>25</v>
      </c>
    </row>
    <row r="29" spans="1:3" x14ac:dyDescent="0.3">
      <c r="A29" s="2">
        <f>IF('[1]Dataset 1'!Z29="Male",1,0)</f>
        <v>1</v>
      </c>
      <c r="B29" s="2">
        <f>IF('[1]Dataset 1'!AA29="Less than 1 year",0.5, IF('[1]Dataset 1'!AA29="1-3 years",2, IF('[1]Dataset 1'!AA29="3-5 years",4, IF('[1]Dataset 1'!AA29="More than 5 years",6,""))))</f>
        <v>2</v>
      </c>
      <c r="C29" s="2">
        <f>IF('[1]Dataset 1'!AB29="10%-20%",15, IF('[1]Dataset 1'!AB29="20%-30%",25, IF('[1]Dataset 1'!AB29="30%-40%",35, IF('[1]Dataset 1'!AB29="40%-50%",45, IF('[1]Dataset 1'!AB29="Less than 10%",5,"")))))</f>
        <v>25</v>
      </c>
    </row>
    <row r="30" spans="1:3" x14ac:dyDescent="0.3">
      <c r="A30" s="2">
        <f>IF('[1]Dataset 1'!Z30="Male",1,0)</f>
        <v>1</v>
      </c>
      <c r="B30" s="2">
        <f>IF('[1]Dataset 1'!AA30="Less than 1 year",0.5, IF('[1]Dataset 1'!AA30="1-3 years",2, IF('[1]Dataset 1'!AA30="3-5 years",4, IF('[1]Dataset 1'!AA30="More than 5 years",6,""))))</f>
        <v>2</v>
      </c>
      <c r="C30" s="2">
        <f>IF('[1]Dataset 1'!AB30="10%-20%",15, IF('[1]Dataset 1'!AB30="20%-30%",25, IF('[1]Dataset 1'!AB30="30%-40%",35, IF('[1]Dataset 1'!AB30="40%-50%",45, IF('[1]Dataset 1'!AB30="Less than 10%",5,"")))))</f>
        <v>25</v>
      </c>
    </row>
    <row r="31" spans="1:3" x14ac:dyDescent="0.3">
      <c r="A31" s="2">
        <f>IF('[1]Dataset 1'!Z31="Male",1,0)</f>
        <v>0</v>
      </c>
      <c r="B31" s="2">
        <f>IF('[1]Dataset 1'!AA31="Less than 1 year",0.5, IF('[1]Dataset 1'!AA31="1-3 years",2, IF('[1]Dataset 1'!AA31="3-5 years",4, IF('[1]Dataset 1'!AA31="More than 5 years",6,""))))</f>
        <v>4</v>
      </c>
      <c r="C31" s="2">
        <f>IF('[1]Dataset 1'!AB31="10%-20%",15, IF('[1]Dataset 1'!AB31="20%-30%",25, IF('[1]Dataset 1'!AB31="30%-40%",35, IF('[1]Dataset 1'!AB31="40%-50%",45, IF('[1]Dataset 1'!AB31="Less than 10%",5,"")))))</f>
        <v>15</v>
      </c>
    </row>
    <row r="32" spans="1:3" x14ac:dyDescent="0.3">
      <c r="A32" s="2">
        <f>IF('[1]Dataset 1'!Z32="Male",1,0)</f>
        <v>1</v>
      </c>
      <c r="B32" s="2">
        <f>IF('[1]Dataset 1'!AA32="Less than 1 year",0.5, IF('[1]Dataset 1'!AA32="1-3 years",2, IF('[1]Dataset 1'!AA32="3-5 years",4, IF('[1]Dataset 1'!AA32="More than 5 years",6,""))))</f>
        <v>2</v>
      </c>
      <c r="C32" s="2">
        <f>IF('[1]Dataset 1'!AB32="10%-20%",15, IF('[1]Dataset 1'!AB32="20%-30%",25, IF('[1]Dataset 1'!AB32="30%-40%",35, IF('[1]Dataset 1'!AB32="40%-50%",45, IF('[1]Dataset 1'!AB32="Less than 10%",5,"")))))</f>
        <v>15</v>
      </c>
    </row>
    <row r="33" spans="1:3" x14ac:dyDescent="0.3">
      <c r="A33" s="2">
        <f>IF('[1]Dataset 1'!Z33="Male",1,0)</f>
        <v>0</v>
      </c>
      <c r="B33" s="2">
        <f>IF('[1]Dataset 1'!AA33="Less than 1 year",0.5, IF('[1]Dataset 1'!AA33="1-3 years",2, IF('[1]Dataset 1'!AA33="3-5 years",4, IF('[1]Dataset 1'!AA33="More than 5 years",6,""))))</f>
        <v>4</v>
      </c>
      <c r="C33" s="2">
        <f>IF('[1]Dataset 1'!AB33="10%-20%",15, IF('[1]Dataset 1'!AB33="20%-30%",25, IF('[1]Dataset 1'!AB33="30%-40%",35, IF('[1]Dataset 1'!AB33="40%-50%",45, IF('[1]Dataset 1'!AB33="Less than 10%",5,"")))))</f>
        <v>25</v>
      </c>
    </row>
    <row r="34" spans="1:3" x14ac:dyDescent="0.3">
      <c r="A34" s="2">
        <f>IF('[1]Dataset 1'!Z34="Male",1,0)</f>
        <v>1</v>
      </c>
      <c r="B34" s="2">
        <f>IF('[1]Dataset 1'!AA34="Less than 1 year",0.5, IF('[1]Dataset 1'!AA34="1-3 years",2, IF('[1]Dataset 1'!AA34="3-5 years",4, IF('[1]Dataset 1'!AA34="More than 5 years",6,""))))</f>
        <v>4</v>
      </c>
      <c r="C34" s="2">
        <f>IF('[1]Dataset 1'!AB34="10%-20%",15, IF('[1]Dataset 1'!AB34="20%-30%",25, IF('[1]Dataset 1'!AB34="30%-40%",35, IF('[1]Dataset 1'!AB34="40%-50%",45, IF('[1]Dataset 1'!AB34="Less than 10%",5,"")))))</f>
        <v>35</v>
      </c>
    </row>
    <row r="35" spans="1:3" x14ac:dyDescent="0.3">
      <c r="A35" s="2">
        <f>IF('[1]Dataset 1'!Z35="Male",1,0)</f>
        <v>1</v>
      </c>
      <c r="B35" s="2">
        <f>IF('[1]Dataset 1'!AA35="Less than 1 year",0.5, IF('[1]Dataset 1'!AA35="1-3 years",2, IF('[1]Dataset 1'!AA35="3-5 years",4, IF('[1]Dataset 1'!AA35="More than 5 years",6,""))))</f>
        <v>2</v>
      </c>
      <c r="C35" s="2">
        <f>IF('[1]Dataset 1'!AB35="10%-20%",15, IF('[1]Dataset 1'!AB35="20%-30%",25, IF('[1]Dataset 1'!AB35="30%-40%",35, IF('[1]Dataset 1'!AB35="40%-50%",45, IF('[1]Dataset 1'!AB35="Less than 10%",5,"")))))</f>
        <v>25</v>
      </c>
    </row>
    <row r="36" spans="1:3" x14ac:dyDescent="0.3">
      <c r="A36" s="2">
        <f>IF('[1]Dataset 1'!Z36="Male",1,0)</f>
        <v>1</v>
      </c>
      <c r="B36" s="2">
        <f>IF('[1]Dataset 1'!AA36="Less than 1 year",0.5, IF('[1]Dataset 1'!AA36="1-3 years",2, IF('[1]Dataset 1'!AA36="3-5 years",4, IF('[1]Dataset 1'!AA36="More than 5 years",6,""))))</f>
        <v>2</v>
      </c>
      <c r="C36" s="2">
        <f>IF('[1]Dataset 1'!AB36="10%-20%",15, IF('[1]Dataset 1'!AB36="20%-30%",25, IF('[1]Dataset 1'!AB36="30%-40%",35, IF('[1]Dataset 1'!AB36="40%-50%",45, IF('[1]Dataset 1'!AB36="Less than 10%",5,"")))))</f>
        <v>25</v>
      </c>
    </row>
    <row r="37" spans="1:3" x14ac:dyDescent="0.3">
      <c r="A37" s="2">
        <f>IF('[1]Dataset 1'!Z37="Male",1,0)</f>
        <v>1</v>
      </c>
      <c r="B37" s="2">
        <f>IF('[1]Dataset 1'!AA37="Less than 1 year",0.5, IF('[1]Dataset 1'!AA37="1-3 years",2, IF('[1]Dataset 1'!AA37="3-5 years",4, IF('[1]Dataset 1'!AA37="More than 5 years",6,""))))</f>
        <v>4</v>
      </c>
      <c r="C37" s="2">
        <f>IF('[1]Dataset 1'!AB37="10%-20%",15, IF('[1]Dataset 1'!AB37="20%-30%",25, IF('[1]Dataset 1'!AB37="30%-40%",35, IF('[1]Dataset 1'!AB37="40%-50%",45, IF('[1]Dataset 1'!AB37="Less than 10%",5,"")))))</f>
        <v>25</v>
      </c>
    </row>
    <row r="38" spans="1:3" x14ac:dyDescent="0.3">
      <c r="A38" s="2">
        <f>IF('[1]Dataset 1'!Z38="Male",1,0)</f>
        <v>1</v>
      </c>
      <c r="B38" s="2">
        <f>IF('[1]Dataset 1'!AA38="Less than 1 year",0.5, IF('[1]Dataset 1'!AA38="1-3 years",2, IF('[1]Dataset 1'!AA38="3-5 years",4, IF('[1]Dataset 1'!AA38="More than 5 years",6,""))))</f>
        <v>2</v>
      </c>
      <c r="C38" s="2">
        <f>IF('[1]Dataset 1'!AB38="10%-20%",15, IF('[1]Dataset 1'!AB38="20%-30%",25, IF('[1]Dataset 1'!AB38="30%-40%",35, IF('[1]Dataset 1'!AB38="40%-50%",45, IF('[1]Dataset 1'!AB38="Less than 10%",5,"")))))</f>
        <v>25</v>
      </c>
    </row>
    <row r="39" spans="1:3" x14ac:dyDescent="0.3">
      <c r="A39" s="2">
        <f>IF('[1]Dataset 1'!Z39="Male",1,0)</f>
        <v>1</v>
      </c>
      <c r="B39" s="2">
        <f>IF('[1]Dataset 1'!AA39="Less than 1 year",0.5, IF('[1]Dataset 1'!AA39="1-3 years",2, IF('[1]Dataset 1'!AA39="3-5 years",4, IF('[1]Dataset 1'!AA39="More than 5 years",6,""))))</f>
        <v>4</v>
      </c>
      <c r="C39" s="2">
        <f>IF('[1]Dataset 1'!AB39="10%-20%",15, IF('[1]Dataset 1'!AB39="20%-30%",25, IF('[1]Dataset 1'!AB39="30%-40%",35, IF('[1]Dataset 1'!AB39="40%-50%",45, IF('[1]Dataset 1'!AB39="Less than 10%",5,"")))))</f>
        <v>35</v>
      </c>
    </row>
    <row r="40" spans="1:3" x14ac:dyDescent="0.3">
      <c r="A40" s="2">
        <f>IF('[1]Dataset 1'!Z40="Male",1,0)</f>
        <v>1</v>
      </c>
      <c r="B40" s="2">
        <f>IF('[1]Dataset 1'!AA40="Less than 1 year",0.5, IF('[1]Dataset 1'!AA40="1-3 years",2, IF('[1]Dataset 1'!AA40="3-5 years",4, IF('[1]Dataset 1'!AA40="More than 5 years",6,""))))</f>
        <v>2</v>
      </c>
      <c r="C40" s="2">
        <f>IF('[1]Dataset 1'!AB40="10%-20%",15, IF('[1]Dataset 1'!AB40="20%-30%",25, IF('[1]Dataset 1'!AB40="30%-40%",35, IF('[1]Dataset 1'!AB40="40%-50%",45, IF('[1]Dataset 1'!AB40="Less than 10%",5,"")))))</f>
        <v>25</v>
      </c>
    </row>
    <row r="41" spans="1:3" x14ac:dyDescent="0.3">
      <c r="A41" s="2">
        <f>IF('[1]Dataset 1'!Z41="Male",1,0)</f>
        <v>1</v>
      </c>
      <c r="B41" s="2">
        <f>IF('[1]Dataset 1'!AA41="Less than 1 year",0.5, IF('[1]Dataset 1'!AA41="1-3 years",2, IF('[1]Dataset 1'!AA41="3-5 years",4, IF('[1]Dataset 1'!AA41="More than 5 years",6,""))))</f>
        <v>4</v>
      </c>
      <c r="C41" s="2">
        <f>IF('[1]Dataset 1'!AB41="10%-20%",15, IF('[1]Dataset 1'!AB41="20%-30%",25, IF('[1]Dataset 1'!AB41="30%-40%",35, IF('[1]Dataset 1'!AB41="40%-50%",45, IF('[1]Dataset 1'!AB41="Less than 10%",5,"")))))</f>
        <v>25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00D9-8C50-4C6F-A079-E5E4A5F19B82}">
  <dimension ref="A1:AU75"/>
  <sheetViews>
    <sheetView zoomScale="55" zoomScaleNormal="55" workbookViewId="0">
      <selection activeCell="AR31" sqref="AR31"/>
    </sheetView>
  </sheetViews>
  <sheetFormatPr defaultRowHeight="14.4" x14ac:dyDescent="0.3"/>
  <sheetData>
    <row r="1" spans="1:47"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spans="1:47"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row>
    <row r="3" spans="1:47"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row>
    <row r="4" spans="1:47"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row>
    <row r="5" spans="1:47"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row>
    <row r="6" spans="1:47"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row>
    <row r="7" spans="1:47"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row>
    <row r="8" spans="1:47"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row>
    <row r="9" spans="1:47"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row>
    <row r="10" spans="1:47"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row>
    <row r="11" spans="1:47"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row>
    <row r="12" spans="1:47"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row>
    <row r="13" spans="1:47"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row>
    <row r="14" spans="1:47"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row>
    <row r="15" spans="1:47"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row>
    <row r="16" spans="1:47"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row>
    <row r="17" spans="1:47"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row>
    <row r="18" spans="1:47"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row>
    <row r="19" spans="1:47"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row>
    <row r="20" spans="1:47"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row>
    <row r="21" spans="1:47"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row>
    <row r="22" spans="1:47"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row>
    <row r="23" spans="1:47"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row>
    <row r="24" spans="1:47"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row>
    <row r="25" spans="1:47"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row>
    <row r="26" spans="1:47"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row>
    <row r="27" spans="1:47"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row>
    <row r="28" spans="1:47"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row>
    <row r="29" spans="1:47"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row>
    <row r="30" spans="1:47"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row>
    <row r="31" spans="1:47"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row>
    <row r="32" spans="1:47"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row>
    <row r="33" spans="1:47"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row>
    <row r="34" spans="1:47"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row>
    <row r="35" spans="1:47"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row>
    <row r="36" spans="1:47"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row>
    <row r="37" spans="1:47"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row>
    <row r="38" spans="1:47"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row>
    <row r="39" spans="1:47"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row>
    <row r="40" spans="1:47"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row>
    <row r="41" spans="1:47"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row>
    <row r="42" spans="1:47"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row>
    <row r="43" spans="1:47"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row>
    <row r="44" spans="1:47"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row>
    <row r="45" spans="1:47"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row>
    <row r="46" spans="1:47"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row>
    <row r="47" spans="1:47"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row>
    <row r="48" spans="1:47"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row>
    <row r="49" spans="1:47"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row>
    <row r="50" spans="1:47"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row>
    <row r="51" spans="1:47"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row>
    <row r="52" spans="1:47"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row>
    <row r="53" spans="1:47"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row>
    <row r="54" spans="1:47"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row>
    <row r="55" spans="1:47"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row>
    <row r="56" spans="1:47"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row>
    <row r="57" spans="1:47"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row>
    <row r="58" spans="1:47"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row>
    <row r="59" spans="1:47"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row>
    <row r="60" spans="1:47"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row>
    <row r="61" spans="1:47"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row>
    <row r="62" spans="1:47"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row>
    <row r="63" spans="1:47"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row>
    <row r="64" spans="1:47"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row>
    <row r="65" spans="1:47"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row>
    <row r="66" spans="1:47"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row>
    <row r="67" spans="1:47"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row>
    <row r="68" spans="1:47"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row>
    <row r="69" spans="1:47"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row>
    <row r="70" spans="1:47"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row>
    <row r="71" spans="1:47"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row>
    <row r="72" spans="1:47"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row>
    <row r="73" spans="1:47"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row>
    <row r="74" spans="1:47"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row>
    <row r="75" spans="1:47"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Dataset1</vt:lpstr>
      <vt:lpstr>Gender distribution</vt:lpstr>
      <vt:lpstr>Bar Chart</vt:lpstr>
      <vt:lpstr>Stacked Bar Chart1</vt:lpstr>
      <vt:lpstr>Doughnut Chart</vt:lpstr>
      <vt:lpstr>Horizonta Bar Chart</vt:lpstr>
      <vt:lpstr>Histogram Chart</vt:lpstr>
      <vt:lpstr>Radar Chart</vt:lpstr>
      <vt:lpstr>Scatter Chart</vt:lpstr>
      <vt:lpstr>Bubble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VIVOBOOK 16X</dc:creator>
  <cp:lastModifiedBy>SAHIL RAWAT</cp:lastModifiedBy>
  <dcterms:created xsi:type="dcterms:W3CDTF">2025-10-02T15:02:13Z</dcterms:created>
  <dcterms:modified xsi:type="dcterms:W3CDTF">2025-10-08T15:43:11Z</dcterms:modified>
</cp:coreProperties>
</file>